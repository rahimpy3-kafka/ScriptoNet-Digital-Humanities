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el Here" sheetId="1" state="visible" r:id="rId3"/>
    <sheet name="Guid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<sst xmlns="http://schemas.openxmlformats.org/spreadsheetml/2006/main" count="305" uniqueCount="203">
  <si>
    <t xml:space="preserve">passage_id</t>
  </si>
  <si>
    <t xml:space="preserve">chapter</t>
  </si>
  <si>
    <t xml:space="preserve">target</t>
  </si>
  <si>
    <t xml:space="preserve">selection_method</t>
  </si>
  <si>
    <t xml:space="preserve">text</t>
  </si>
  <si>
    <t xml:space="preserve">therapeutic_label</t>
  </si>
  <si>
    <t xml:space="preserve">mechanism</t>
  </si>
  <si>
    <t xml:space="preserve">secondary_mechanism</t>
  </si>
  <si>
    <t xml:space="preserve">intensity</t>
  </si>
  <si>
    <t xml:space="preserve">annotator_confidence</t>
  </si>
  <si>
    <t xml:space="preserve">annotator_notes</t>
  </si>
  <si>
    <t xml:space="preserve">position</t>
  </si>
  <si>
    <t xml:space="preserve">cue_score</t>
  </si>
  <si>
    <t xml:space="preserve">matched_cues</t>
  </si>
  <si>
    <t xml:space="preserve">also_matches</t>
  </si>
  <si>
    <t xml:space="preserve">Chapter 13</t>
  </si>
  <si>
    <t xml:space="preserve">music</t>
  </si>
  <si>
    <t xml:space="preserve">targeted</t>
  </si>
  <si>
    <t xml:space="preserve">Chapter 13 “I now hasten to the more moving part of my story. I shall relate
events that impressed me with feelings which, from what I had been,
have made me what I am. “Spring advanced rapidly; the weather became fine and the skies
cloudless. It surprised me that what before was desert and gloomy
should now bloom with the most beautiful flowers and verdure. My
senses were gratified and refreshed by a thousand scents of delight and
a thousand sights of beauty. “It was on one of these days, when my cottagers periodically rested
from labour—the old man played on his guitar, and the children
listened to him—that I observed the countenance of Felix was
melancholy beyond expression; he sighed frequently, and once his father
paused in his music, and I conjectured by his manner that he inquired
the cause of his son’s sorrow. Felix replied in a cheerful accent, and
the old man was recommencing his music when someone tapped at the door. “It was a lady on horseback, accompanied by a country-man as a guide.
The lady was dressed in a dark suit and covered with a thick black
veil. Agatha asked a question, to which the stranger only replied by
pronouncing, in a sweet accent, the name of Felix. Her voice was
musical but unlike that of either of my friends. On hearing this word,
Felix came up hastily to the lady, who, when she saw him, threw up her
veil, and I beheld a countenance of angelic beauty and expression. Her
hair of a shining raven black, and curiously braided; her eyes were
dark, but gentle, although animated; her features of a regular
proportion, and her complexion wondrously fair, each cheek tinged with
a lovely pink.</t>
  </si>
  <si>
    <t xml:space="preserve">guitar, music, musical</t>
  </si>
  <si>
    <t xml:space="preserve">“As night came on, Agatha and the Arabian retired early. When they
separated Felix kissed the hand of the stranger and said, ‘Good night
sweet Safie.’ He sat up much longer, conversing with his father, and
by the frequent repetition of her name I conjectured that their lovely
guest was the subject of their conversation. I ardently desired to
understand them, and bent every faculty towards that purpose, but found
it utterly impossible. “The next morning Felix went out to his work, and after the usual
occupations of Agatha were finished, the Arabian sat at the feet of the
old man, and taking his guitar, played some airs so entrancingly
beautiful that they at once drew tears of sorrow and delight from my
eyes. She sang, and her voice flowed in a rich cadence, swelling or
dying away like a nightingale of the woods. “When she had finished, she gave the guitar to Agatha, who at first
declined it. She played a simple air, and her voice accompanied it in
sweet accents, but unlike the wondrous strain of the stranger. The old
man appeared enraptured and said some words which Agatha endeavoured to
explain to Safie, and by which he appeared to wish to express that she
bestowed on him the greatest delight by her music. “The days now passed as peaceably as before, with the sole alteration
that joy had taken place of sadness in the countenances of my friends.
Safie was always gay and happy; she and I improved rapidly in the
knowledge of language, so that in two months I began to comprehend most
of the words uttered by my protectors.</t>
  </si>
  <si>
    <t xml:space="preserve">guitar, music, sang</t>
  </si>
  <si>
    <t xml:space="preserve">Chapter 12</t>
  </si>
  <si>
    <t xml:space="preserve">“Night quickly shut in, but to my extreme wonder, I found that the
cottagers had a means of prolonging light by the use of tapers, and was
delighted to find that the setting of the sun did not put an end to the
pleasure I experienced in watching my human neighbours. In the evening
the young girl and her companion were employed in various occupations
which I did not understand; and the old man again took up the
instrument which produced the divine sounds that had enchanted me in
the morning. So soon as he had finished, the youth began, not to play,
but to utter sounds that were monotonous, and neither resembling the
harmony of the old man’s instrument nor the songs of the birds; I since
found that he read aloud, but at that time I knew nothing of the
science of words or letters. “The family, after having been thus occupied for a short time,
extinguished their lights and retired, as I conjectured, to rest.” Chapter 12 “I lay on my straw, but I could not sleep. I thought of the
occurrences of the day. What chiefly struck me was the gentle manners
of these people, and I longed to join them, but dared not. I
remembered too well the treatment I had suffered the night before from
the barbarous villagers, and resolved, whatever course of conduct I
might hereafter think it right to pursue, that for the present I would
remain quietly in my hovel, watching and endeavouring to discover the
motives which influenced their actions.</t>
  </si>
  <si>
    <t xml:space="preserve">harmony, instrument, songs</t>
  </si>
  <si>
    <t xml:space="preserve">“My thoughts now became more active, and I longed to discover the
motives and feelings of these lovely creatures; I was inquisitive to
know why Felix appeared so miserable and Agatha so sad. I thought
(foolish wretch!) that it might be in my power to restore happiness to
these deserving people. When I slept or was absent, the forms of the
venerable blind father, the gentle Agatha, and the excellent Felix
flitted before me. I looked upon them as superior beings who would be
the arbiters of my future destiny. I formed in my imagination a
thousand pictures of presenting myself to them, and their reception of
me. I imagined that they would be disgusted, until, by my gentle
demeanour and conciliating words, I should first win their favour and
afterwards their love. “These thoughts exhilarated me and led me to apply with fresh ardour to
the acquiring the art of language. My organs were indeed harsh, but
supple; and although my voice was very unlike the soft music of their
tones, yet I pronounced such words as I understood with tolerable ease.
It was as the ass and the lap-dog; yet surely the gentle ass whose
intentions were affectionate, although his manners were rude, deserved
better treatment than blows and execration. “The pleasant showers and genial warmth of spring greatly altered the
aspect of the earth. Men who before this change seemed to have been
hid in caves dispersed themselves and were employed in various arts of
cultivation. The birds sang in more cheerful notes, and the leaves
began to bud forth on the trees. Happy, happy earth! Fit habitation
for gods, which, so short a time before, was bleak, damp, and
unwholesome. My spirits were elevated by the enchanting appearance of
nature; the past was blotted from my memory, the present was tranquil,
and the future gilded by bright rays of hope and anticipations of joy.”</t>
  </si>
  <si>
    <t xml:space="preserve">music, sang</t>
  </si>
  <si>
    <t xml:space="preserve">support, reflection_despair</t>
  </si>
  <si>
    <t xml:space="preserve">Chapter 15</t>
  </si>
  <si>
    <t xml:space="preserve">“The winter advanced, and an entire revolution of the seasons had taken
place since I awoke into life. My attention at this time was solely
directed towards my plan of introducing myself into the cottage of my
protectors. I revolved many projects, but that on which I finally
fixed was to enter the dwelling when the blind old man should be alone.
I had sagacity enough to discover that the unnatural hideousness of my
person was the chief object of horror with those who had formerly
beheld me. My voice, although harsh, had nothing terrible in it; I
thought, therefore, that if in the absence of his children I could gain
the good will and mediation of the old De Lacey, I might by his means
be tolerated by my younger protectors. “One day, when the sun shone on the red leaves that strewed the ground
and diffused cheerfulness, although it denied warmth, Safie, Agatha,
and Felix departed on a long country walk, and the old man, at his own
desire, was left alone in the cottage. When his children had departed,
he took up his guitar and played several mournful but sweet airs, more
sweet and mournful than I had ever heard him play before. At first his
countenance was illuminated with pleasure, but as he continued,
thoughtfulness and sadness succeeded; at length, laying aside the
instrument, he sat absorbed in reflection. “My heart beat quick; this was the hour and moment of trial, which
would decide my hopes or realise my fears. The servants were gone to a
neighbouring fair. All was silent in and around the cottage; it was an
excellent opportunity; yet, when I proceeded to execute my plan, my
limbs failed me and I sank to the ground. Again I rose, and exerting
all the firmness of which I was master, removed the planks which I had
placed before my hovel to conceal my retreat. The fresh air revived
me, and with renewed determination I approached the door of their
cottage.</t>
  </si>
  <si>
    <t xml:space="preserve">guitar, instrument</t>
  </si>
  <si>
    <t xml:space="preserve">Chapter 18</t>
  </si>
  <si>
    <t xml:space="preserve">We had agreed to descend the Rhine in a boat from Strasburgh to
Rotterdam, whence we might take shipping for London. During this
voyage we passed many willowy islands and saw several beautiful towns.
We stayed a day at Mannheim, and on the fifth from our departure from
Strasburgh, arrived at Mainz. The course of the Rhine below Mainz
becomes much more picturesque. The river descends rapidly and winds
between hills, not high, but steep, and of beautiful forms. We saw
many ruined castles standing on the edges of precipices, surrounded by
black woods, high and inaccessible. This part of the Rhine, indeed,
presents a singularly variegated landscape. In one spot you view
rugged hills, ruined castles overlooking tremendous precipices, with
the dark Rhine rushing beneath; and on the sudden turn of a promontory,
flourishing vineyards with green sloping banks and a meandering river
and populous towns occupy the scene. We travelled at the time of the vintage and heard the song of the labourers
as we glided down the stream. Even I, depressed in mind, and my spirits
continually agitated by gloomy feelings, even I was pleased. I lay at the
bottom of the boat, and as I gazed on the cloudless blue sky, I seemed to
drink in a tranquillity to which I had long been a stranger. And if these
were my sensations, who can describe those of Henry? He felt as if he had
been transported to Fairy-land and enjoyed a happiness seldom tasted by
man. “I have seen,” he said, “the most beautiful scenes
of my own country; I have visited the lakes of Lucerne and Uri, where the
snowy mountains descend almost perpendicularly to the water, casting black
and impenetrable shades, which would cause a gloomy and mournful appearance
were it not for the most verdant islands that relieve the eye by their gay
appearance; I have seen this lake agitated by a tempest, when the wind tore
up whirlwinds of water and gave you an idea of what the water-spout must be
on the great ocean; and the waves dash with fury the base of the mountain,
where the priest and his mistress were overwhelmed by an avalanche and
where their dying voices are still said to be heard amid the pauses of the
nightly wind; I have seen the mountains of La Valais, and the Pays de Vaud;
but this country, Victor, pleases me more than all those wonders. The
mountains of Switzerland are more majestic and strange, but there is a
charm in the banks of this divine river that I never before saw equalled.
Look at that castle which overhangs yon precipice; and that also on the
island, almost concealed amongst the foliage of those lovely trees; and now
that group of labourers coming from among their vines; and that village
half hid in the recess of the mountain. Oh, surely the spirit that inhabits
and guards this place has a soul more in harmony with man than those who
pile the glacier or retire to the inaccessible peaks of the mountains of
our own country.”</t>
  </si>
  <si>
    <t xml:space="preserve">harmony, song</t>
  </si>
  <si>
    <t xml:space="preserve">Letter 1</t>
  </si>
  <si>
    <t xml:space="preserve">poetry</t>
  </si>
  <si>
    <t xml:space="preserve">These reflections have dispelled the agitation with which I began my
letter, and I feel my heart glow with an enthusiasm which elevates me
to heaven, for nothing contributes so much to tranquillise the mind as
a steady purpose—a point on which the soul may fix its intellectual
eye. This expedition has been the favourite dream of my early years. I
have read with ardour the accounts of the various voyages which have
been made in the prospect of arriving at the North Pacific Ocean
through the seas which surround the pole. You may remember that a
history of all the voyages made for purposes of discovery composed the
whole of our good Uncle Thomas’ library. My education was neglected,
yet I was passionately fond of reading. These volumes were my study
day and night, and my familiarity with them increased that regret which
I had felt, as a child, on learning that my father’s dying injunction
had forbidden my uncle to allow me to embark in a seafaring life. These visions faded when I perused, for the first time, those poets
whose effusions entranced my soul and lifted it to heaven. I also
became a poet and for one year lived in a paradise of my own creation;
I imagined that I also might obtain a niche in the temple where the
names of Homer and Shakespeare are consecrated. You are well
acquainted with my failure and how heavily I bore the disappointment.
But just at that time I inherited the fortune of my cousin, and my
thoughts were turned into the channel of their earlier bent.</t>
  </si>
  <si>
    <t xml:space="preserve">poet, poets</t>
  </si>
  <si>
    <t xml:space="preserve">walton_letters, reading</t>
  </si>
  <si>
    <t xml:space="preserve">Letter 2</t>
  </si>
  <si>
    <t xml:space="preserve">Yet do not suppose, because I complain a little or because I can
conceive a consolation for my toils which I may never know, that I am
wavering in my resolutions. Those are as fixed as fate, and my voyage
is only now delayed until the weather shall permit my embarkation. The
winter has been dreadfully severe, but the spring promises well, and it
is considered as a remarkably early season, so that perhaps I may sail
sooner than I expected. I shall do nothing rashly: you know me
sufficiently to confide in my prudence and considerateness whenever the
safety of others is committed to my care. I cannot describe to you my sensations on the near prospect of my
undertaking. It is impossible to communicate to you a conception of
the trembling sensation, half pleasurable and half fearful, with which
I am preparing to depart. I am going to unexplored regions, to “the
land of mist and snow,” but I shall kill no albatross; therefore do not
be alarmed for my safety or if I should come back to you as worn and
woeful as the “Ancient Mariner.” You will smile at my allusion, but I
will disclose a secret. I have often attributed my attachment to, my
passionate enthusiasm for, the dangerous mysteries of ocean to that
production of the most imaginative of modern poets. There is something
at work in my soul which I do not understand. 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</si>
  <si>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 xml:space="preserve">ancient mariner, poets</t>
  </si>
  <si>
    <t xml:space="preserve">walton_letters</t>
  </si>
  <si>
    <t xml:space="preserve">Chapter 5</t>
  </si>
  <si>
    <t xml:space="preserve">Oh! No mortal could support the horror of that countenance. A mummy
again endued with animation could not be so hideous as that wretch. I
had gazed on him while unfinished; he was ugly then, but when those
muscles and joints were rendered capable of motion, it became a thing
such as even Dante could not have conceived. I passed the night wretchedly. Sometimes my pulse beat so quickly and
hardly that I felt the palpitation of every artery; at others, I nearly
sank to the ground through languor and extreme weakness. Mingled with
this horror, I felt the bitterness of disappointment; dreams that had
been my food and pleasant rest for so long a space were now become a
hell to me; and the change was so rapid, the overthrow so complete! Morning, dismal and wet, at length dawned and discovered to my
sleepless and aching eyes the church of Ingolstadt, its white steeple
and clock, which indicated the sixth hour. The porter opened the gates
of the court, which had that night been my asylum, and I issued into
the streets, pacing them with quick steps, as if I sought to avoid the
wretch whom I feared every turning of the street would present to my
view. I did not dare return to the apartment which I inhabited, but
felt impelled to hurry on, although drenched by the rain which poured
from a black and comfortless sky. I continued walking in this manner for some time, endeavouring by
bodily exercise to ease the load that weighed upon my mind. I
traversed the streets without any clear conception of where I was or
what I was doing. My heart palpitated in the sickness of fear, and I
hurried on with irregular steps, not daring to look about me:
 Like one who, on a lonely road,
 Doth walk in fear and dread,
 And, having once turned round, walks on,
 And turns no more his head;
 Because he knows a frightful fiend
 Doth close behind him tread.
 [Coleridge’s “Ancient Mariner.”]</t>
  </si>
  <si>
    <t xml:space="preserve">ancient mariner, coleridge</t>
  </si>
  <si>
    <t xml:space="preserve">But I have one want which I have never yet been able to satisfy, and the
absence of the object of which I now feel as a most severe evil, I have no
friend, Margaret: when I am glowing with the enthusiasm of success, there
will be none to participate my joy; if I am assailed by disappointment, no
one will endeavour to sustain me in dejection. I shall commit my thoughts
to paper, it is true; but that is a poor medium for the communication of
feeling. I desire the company of a man who could sympathise with me, whose
eyes would reply to mine. You may deem me romantic, my dear sister, but I
bitterly feel the want of a friend. I have no one near me, gentle yet
courageous, possessed of a cultivated as well as of a capacious mind, whose
tastes are like my own, to approve or amend my plans. How would such a
friend repair the faults of your poor brother! I am too ardent in execution
and too impatient of difficulties. But it is a still greater evil to me
that I am self-educated: for the first fourteen years of my life I ran wild
on a common and read nothing but our Uncle Thomas’ books of voyages.
At that age I became acquainted with the celebrated poets of our own
country; but it was only when it had ceased to be in my power to derive its
most important benefits from such a conviction that I perceived the
necessity of becoming acquainted with more languages than that of my native
country. Now I am twenty-eight and am in reality more illiterate than many
schoolboys of fifteen. It is true that I have thought more and that my
daydreams are more extended and magnificent, but they want (as the painters
call it) _keeping;_ and I greatly need a friend who would have sense
enough not to despise me as romantic, and affection enough for me to
endeavour to regulate my mind.</t>
  </si>
  <si>
    <t xml:space="preserve">poets</t>
  </si>
  <si>
    <t xml:space="preserve">walton_letters, reading, support</t>
  </si>
  <si>
    <t xml:space="preserve">Chapter 2</t>
  </si>
  <si>
    <t xml:space="preserve">Everyone loved Elizabeth. The passionate and almost reverential
attachment with which all regarded her became, while I shared it, my
pride and my delight. On the evening previous to her being brought to
my home, my mother had said playfully, “I have a pretty present for my
Victor—tomorrow he shall have it.” And when, on the morrow, she
presented Elizabeth to me as her promised gift, I, with childish
seriousness, interpreted her words literally and looked upon Elizabeth
as mine—mine to protect, love, and cherish. All praises bestowed on
her I received as made to a possession of my own. We called each other
familiarly by the name of cousin. No word, no expression could body
forth the kind of relation in which she stood to me—my more than
sister, since till death she was to be mine only. Chapter 2 We were brought up together; there was not quite a year difference in
our ages. I need not say that we were strangers to any species of
disunion or dispute. Harmony was the soul of our companionship, and
the diversity and contrast that subsisted in our characters drew us
nearer together. Elizabeth was of a calmer and more concentrated
disposition; but, with all my ardour, I was capable of a more intense
application and was more deeply smitten with the thirst for knowledge.
She busied herself with following the aerial creations of the poets;
and in the majestic and wondrous scenes which surrounded our Swiss
home —the sublime shapes of the mountains, the changes of the seasons,
tempest and calm, the silence of winter, and the life and turbulence of
our Alpine summers—she found ample scope for admiration and delight.
While my companion contemplated with a serious and satisfied spirit the
magnificent appearances of things, I delighted in investigating their
causes. The world was to me a secret which I desired to divine.
Curiosity, earnest research to learn the hidden laws of nature,
gladness akin to rapture, as they were unfolded to me, are among the
earliest sensations I can remember.</t>
  </si>
  <si>
    <t xml:space="preserve">Chapter 6</t>
  </si>
  <si>
    <t xml:space="preserve">M. Krempe was not equally docile; and in my condition at that time, of
almost insupportable sensitiveness, his harsh blunt encomiums gave me even
more pain than the benevolent approbation of M. Waldman. “D—n
the fellow!” cried he; “why, M. Clerval, I assure you he has
outstript us all. Ay, stare if you please; but it is nevertheless true. A
youngster who, but a few years ago, believed in Cornelius Agrippa as firmly
as in the gospel, has now set himself at the head of the university; and if
he is not soon pulled down, we shall all be out of countenance.—Ay,
ay,” continued he, observing my face expressive of suffering,
“M. Frankenstein is modest; an excellent quality in a young man.
Young men should be diffident of themselves, you know, M. Clerval: I was
myself when young; but that wears out in a very short time.” M. Krempe had now commenced an eulogy on himself, which happily turned
the conversation from a subject that was so annoying to me. Clerval had never sympathised in my tastes for natural science; and his
literary pursuits differed wholly from those which had occupied me. He
came to the university with the design of making himself complete
master of the oriental languages, and thus he should open a field for
the plan of life he had marked out for himself. Resolved to pursue no
inglorious career, he turned his eyes toward the East, as affording
scope for his spirit of enterprise. The Persian, Arabic, and Sanskrit
languages engaged his attention, and I was easily induced to enter on
the same studies. Idleness had ever been irksome to me, and now that I
wished to fly from reflection, and hated my former studies, I felt
great relief in being the fellow-pupil with my friend, and found not
only instruction but consolation in the works of the orientalists. I
did not, like him, attempt a critical knowledge of their dialects, for
I did not contemplate making any other use of them than temporary
amusement. I read merely to understand their meaning, and they well
repaid my labours. Their melancholy is soothing, and their joy
elevating, to a degree I never experienced in studying the authors of
any other country. When you read their writings, life appears to
consist in a warm sun and a garden of roses,—in the smiles and frowns
of a fair enemy, and the fire that consumes your own heart. How
different from the manly and heroical poetry of Greece and Rome!</t>
  </si>
  <si>
    <t xml:space="preserve">reading, support</t>
  </si>
  <si>
    <t xml:space="preserve">Letter 3</t>
  </si>
  <si>
    <t xml:space="preserve">But to return to dearer considerations. Shall I meet you again, after
having traversed immense seas, and returned by the most southern cape of
Africa or America? I dare not expect such success, yet I cannot bear to
look on the reverse of the picture. Continue for the present to write to
me by every opportunity: I may receive your letters on some occasions when
I need them most to support my spirits. I love you very tenderly. 
Remember me with affection, should you never hear from me again. Your affectionate brother,
 Robert Walton Letter 3 _To Mrs. Saville, England._ July 7th, 17—. My dear Sister, I write a few lines in haste to say that I am safe—and well advanced
on my voyage. This letter will reach England by a merchantman now on
its homeward voyage from Archangel; more fortunate than I, who may not
see my native land, perhaps, for many years. I am, however, in good
spirits: my men are bold and apparently firm of purpose, nor do the
floating sheets of ice that continually pass us, indicating the dangers
of the region towards which we are advancing, appear to dismay them. We
have already reached a very high latitude; but it is the height of
summer, and although not so warm as in England, the southern gales,
which blow us speedily towards those shores which I so ardently desire
to attain, breathe a degree of renovating warmth which I had not
expected. No incidents have hitherto befallen us that would make a figure in a
letter. One or two stiff gales and the springing of a leak are
accidents which experienced navigators scarcely remember to record, and
I shall be well content if nothing worse happen to us during our voyage.</t>
  </si>
  <si>
    <t xml:space="preserve">letter, letters, record, sister, write</t>
  </si>
  <si>
    <t xml:space="preserve">writing</t>
  </si>
  <si>
    <t xml:space="preserve">Letter 4</t>
  </si>
  <si>
    <t xml:space="preserve">From this time a new spirit of life animated the decaying frame of the
stranger. He manifested the greatest eagerness to be upon deck to watch for
the sledge which had before appeared; but I have persuaded him to remain in
the cabin, for he is far too weak to sustain the rawness of the atmosphere.
I have promised that someone should watch for him and give him instant
notice if any new object should appear in sight. Such is my journal of what relates to this strange occurrence up to the
present day. The stranger has gradually improved in health but is very
silent and appears uneasy when anyone except myself enters his cabin.
Yet his manners are so conciliating and gentle that the sailors are all
interested in him, although they have had very little communication
with him. For my own part, I begin to love him as a brother, and his
constant and deep grief fills me with sympathy and compassion. He must
have been a noble creature in his better days, being even now in wreck
so attractive and amiable. I said in one of my letters, my dear Margaret, that I should find no friend
on the wide ocean; yet I have found a man who, before his spirit had been
broken by misery, I should have been happy to have possessed as the brother
of my heart. I shall continue my journal concerning the stranger at intervals,
should I have any fresh incidents to record.</t>
  </si>
  <si>
    <t xml:space="preserve">journal, letters, margaret, record</t>
  </si>
  <si>
    <t xml:space="preserve">writing, reading</t>
  </si>
  <si>
    <t xml:space="preserve">Frankenstein; or, the Modern Prometheus by Mary Wollstonecraft (Godwin) Shelley CONTENTS Letter 1
 Letter 2
 Letter 3
 Letter 4
 Chapter 1
 Chapter 2
 Chapter 3
 Chapter 4
 Chapter 5
 Chapter 6
 Chapter 7
 Chapter 8
 Chapter 9
 Chapter 10
 Chapter 11
 Chapter 12
 Chapter 13
 Chapter 14
 Chapter 15
 Chapter 16
 Chapter 17
 Chapter 18
 Chapter 19
 Chapter 20
 Chapter 21
 Chapter 22
 Chapter 23
 Chapter 24 Letter 1 _To Mrs. Saville, England._ St. Petersburgh, Dec. 11th, 17—. You will rejoice to hear that no disaster has accompanied the
commencement of an enterprise which you have regarded with such evil
forebodings. I arrived here yesterday, and my first task is to assure
my dear sister of my welfare and increasing confidence in the success
of my undertaking. I am already far north of London, and as I walk in the streets of
Petersburgh, I feel a cold northern breeze play upon my cheeks, which
braces my nerves and fills me with delight. Do you understand this
feeling? This breeze, which has travelled from the regions towards
which I am advancing, gives me a foretaste of those icy climes.
Inspirited by this wind of promise, my daydreams become more fervent
and vivid. I try in vain to be persuaded that the pole is the seat of
frost and desolation; it ever presents itself to my imagination as the
region of beauty and delight. There, Margaret, the sun is for ever
visible, its broad disk just skirting the horizon and diffusing a
perpetual splendour. There—for with your leave, my sister, I will put
some trust in preceding navigators—there snow and frost are banished;
and, sailing over a calm sea, we may be wafted to a land surpassing in
wonders and in beauty every region hitherto discovered on the habitable
globe. Its productions and features may be without example, as the
phenomena of the heavenly bodies undoubtedly are in those undiscovered
solitudes. What may not be expected in a country of eternal light? I
may there discover the wondrous power which attracts the needle and may
regulate a thousand celestial observations that require only this
voyage to render their seeming eccentricities consistent for ever. I
shall satiate my ardent curiosity with the sight of a part of the world
never before visited, and may tread a land never before imprinted by
the foot of man. These are my enticements, and they are sufficient to
conquer all fear of danger or death and to induce me to commence this
laborious voyage with the joy a child feels when he embarks in a little
boat, with his holiday mates, on an expedition of discovery up his
native river. But supposing all these conjectures to be false, you
cannot contest the inestimable benefit which I shall confer on all
mankind, to the last generation, by discovering a passage near the pole
to those countries, to reach which at present so many months are
requisite; or by ascertaining the secret of the magnet, which, if at
all possible, can only be effected by an undertaking such as mine.</t>
  </si>
  <si>
    <t xml:space="preserve">letter, margaret, sister</t>
  </si>
  <si>
    <t xml:space="preserve">Adieu, my dear Margaret. Be assured that for my own sake, as well as
yours, I will not rashly encounter danger. I will be cool,
persevering, and prudent. But success _shall_ crown my endeavours. Wherefore not? Thus far I
have gone, tracing a secure way over the pathless seas, the very stars
themselves being witnesses and testimonies of my triumph. Why not
still proceed over the untamed yet obedient element? What can stop the
determined heart and resolved will of man? My swelling heart involuntarily pours itself out thus. But I must
finish. Heaven bless my beloved sister! R.W. Letter 4 _To Mrs. Saville, England._ August 5th, 17—. So strange an accident has happened to us that I cannot forbear
recording it, although it is very probable that you will see me before
these papers can come into your possession. Last Monday (July 31st) we were nearly surrounded by ice, which closed
in the ship on all sides, scarcely leaving her the sea-room in which
she floated. Our situation was somewhat dangerous, especially as we
were compassed round by a very thick fog. We accordingly lay to,
hoping that some change would take place in the atmosphere and weather. About two o’clock the mist cleared away, and we beheld, stretched out
in every direction, vast and irregular plains of ice, which seemed to
have no end. Some of my comrades groaned, and my own mind began to
grow watchful with anxious thoughts, when a strange sight suddenly
attracted our attention and diverted our solicitude from our own
situation. We perceived a low carriage, fixed on a sledge and drawn by
dogs, pass on towards the north, at the distance of half a mile; a
being which had the shape of a man, but apparently of gigantic stature,
sat in the sledge and guided the dogs. We watched the rapid progress
of the traveller with our telescopes until he was lost among the
distant inequalities of the ice.</t>
  </si>
  <si>
    <t xml:space="preserve">letter, margaret, recording, sister</t>
  </si>
  <si>
    <t xml:space="preserve">“You will repay me entirely if you do not discompose yourself, but get
well as fast as you can; and since you appear in such good spirits, I
may speak to you on one subject, may I not?” I trembled. One subject! What could it be? Could he allude to an object on
whom I dared not even think? “Compose yourself,” said Clerval, who observed my change of
colour, “I will not mention it if it agitates you; but your father
and cousin would be very happy if they received a letter from you in your
own handwriting. They hardly know how ill you have been and are uneasy at
your long silence.” “Is that all, my dear Henry? How could you suppose that my first
thought would not fly towards those dear, dear friends whom I love and
who are so deserving of my love?” “If this is your present temper, my friend, you will perhaps be glad
to see a letter that has been lying here some days for you; it is from
your cousin, I believe.” Chapter 6 Clerval then put the following letter into my hands. It was from my
own Elizabeth: “My dearest Cousin, “You have been ill, very ill, and even the constant letters of dear
kind Henry are not sufficient to reassure me on your account. You are
forbidden to write—to hold a pen; yet one word from you, dear Victor,
is necessary to calm our apprehensions. For a long time I have thought
that each post would bring this line, and my persuasions have
restrained my uncle from undertaking a journey to Ingolstadt. I have
prevented his encountering the inconveniences and perhaps dangers of so
long a journey, yet how often have I regretted not being able to
perform it myself! I figure to myself that the task of attending on
your sickbed has devolved on some mercenary old nurse, who could never
guess your wishes nor minister to them with the care and affection of
your poor cousin. Yet that is over now: Clerval writes that indeed
you are getting better. I eagerly hope that you will confirm this
intelligence soon in your own handwriting.</t>
  </si>
  <si>
    <t xml:space="preserve">letter, letters, pen, write, writes</t>
  </si>
  <si>
    <t xml:space="preserve">“I must say also a few words to you, my dear cousin, of little darling
William. I wish you could see him; he is very tall of his age, with
sweet laughing blue eyes, dark eyelashes, and curling hair. When he
smiles, two little dimples appear on each cheek, which are rosy with
health. He has already had one or two little _wives,_ but Louisa Biron
is his favourite, a pretty little girl of five years of age. “Now, dear Victor, I dare say you wish to be indulged in a little
gossip concerning the good people of Geneva. The pretty Miss Mansfield
has already received the congratulatory visits on her approaching
marriage with a young Englishman, John Melbourne, Esq. Her ugly
sister, Manon, married M. Duvillard, the rich banker, last autumn. Your
favourite schoolfellow, Louis Manoir, has suffered several misfortunes
since the departure of Clerval from Geneva. But he has already
recovered his spirits, and is reported to be on the point of marrying a
lively pretty Frenchwoman, Madame Tavernier. She is a widow, and much
older than Manoir; but she is very much admired, and a favourite with
everybody. “I have written myself into better spirits, dear cousin; but my anxiety
returns upon me as I conclude. Write, dearest Victor,—one line—one
word will be a blessing to us. Ten thousand thanks to Henry for his
kindness, his affection, and his many letters; we are sincerely
grateful. Adieu! my cousin; take care of yourself; and, I entreat
you, write!</t>
  </si>
  <si>
    <t xml:space="preserve">letters, write, written</t>
  </si>
  <si>
    <t xml:space="preserve">“Another circumstance strengthened and confirmed these feelings. Soon
after my arrival in the hovel I discovered some papers in the pocket of
the dress which I had taken from your laboratory. At first I had
neglected them, but now that I was able to decipher the characters in
which they were written, I began to study them with diligence. It was
your journal of the four months that preceded my creation. You
minutely described in these papers every step you took in the progress
of your work; this history was mingled with accounts of domestic
occurrences. You doubtless recollect these papers. Here they are.
Everything is related in them which bears reference to my accursed
origin; the whole detail of that series of disgusting circumstances
which produced it is set in view; the minutest description of my odious
and loathsome person is given, in language which painted your own
horrors and rendered mine indelible. I sickened as I read. ‘Hateful
day when I received life!’ I exclaimed in agony. ‘Accursed creator!
Why did you form a monster so hideous that even _you_ turned from me in
disgust? God, in pity, made man beautiful and alluring, after his own
image; but my form is a filthy type of yours, more horrid even from the
very resemblance. Satan had his companions, fellow devils, to admire
and encourage him, but I am solitary and abhorred.’ “These were the reflections of my hours of despondency and solitude;
but when I contemplated the virtues of the cottagers, their amiable and
benevolent dispositions, I persuaded myself that when they should
become acquainted with my admiration of their virtues they would
compassionate me and overlook my personal deformity. Could they turn
from their door one, however monstrous, who solicited their compassion
and friendship? I resolved, at least, not to despair, but in every way
to fit myself for an interview with them which would decide my fate. I
postponed this attempt for some months longer, for the importance
attached to its success inspired me with a dread lest I should fail.
Besides, I found that my understanding improved so much with every
day’s experience that I was unwilling to commence this undertaking
until a few more months should have added to my sagacity.</t>
  </si>
  <si>
    <t xml:space="preserve">journal, papers, written</t>
  </si>
  <si>
    <t xml:space="preserve">reading, reflection_despair</t>
  </si>
  <si>
    <t xml:space="preserve">You may easily imagine that I was much gratified by the offered
communication, yet I could not endure that he should renew his grief by
a recital of his misfortunes. I felt the greatest eagerness to hear
the promised narrative, partly from curiosity and partly from a strong
desire to ameliorate his fate if it were in my power. I expressed
these feelings in my answer. “I thank you,” he replied, “for your sympathy, but it is
useless; my fate is nearly fulfilled. I wait but for one event, and then I
shall repose in peace. I understand your feeling,” continued he,
perceiving that I wished to interrupt him; “but you are mistaken, my
friend, if thus you will allow me to name you; nothing can alter my
destiny; listen to my history, and you will perceive how irrevocably it is
determined.” He then told me that he would commence his narrative the next day when I
should be at leisure. This promise drew from me the warmest thanks. I have
resolved every night, when I am not imperatively occupied by my duties, to
record, as nearly as possible in his own words, what he has related during
the day. If I should be engaged, I will at least make notes. This
manuscript will doubtless afford you the greatest pleasure; but to me, who
know him, and who hear it from his own lips—with what interest and
sympathy shall I read it in some future day! Even now, as I commence my
task, his full-toned voice swells in my ears; his lustrous eyes dwell on me
with all their melancholy sweetness; I see his thin hand raised in
animation, while the lineaments of his face are irradiated by the soul
within. Strange and harrowing must be his story, frightful the storm which
embraced the gallant vessel on its course and wrecked it—thus!</t>
  </si>
  <si>
    <t xml:space="preserve">manuscript, notes, record</t>
  </si>
  <si>
    <t xml:space="preserve">walton_letters, support</t>
  </si>
  <si>
    <t xml:space="preserve">Chapter 14</t>
  </si>
  <si>
    <t xml:space="preserve">“The Turk quickly perceived the impression that his daughter had made
on the heart of Felix and endeavoured to secure him more entirely in
his interests by the promise of her hand in marriage so soon as he
should be conveyed to a place of safety. Felix was too delicate to
accept this offer, yet he looked forward to the probability of the
event as to the consummation of his happiness. “During the ensuing days, while the preparations were going forward for
the escape of the merchant, the zeal of Felix was warmed by several
letters that he received from this lovely girl, who found means to
express her thoughts in the language of her lover by the aid of an old
man, a servant of her father who understood French. She thanked him in
the most ardent terms for his intended services towards her parent, and
at the same time she gently deplored her own fate. “I have copies of these letters, for I found means, during my residence
in the hovel, to procure the implements of writing; and the letters
were often in the hands of Felix or Agatha. Before I depart I will
give them to you; they will prove the truth of my tale; but at present,
as the sun is already far declined, I shall only have time to repeat
the substance of them to you. “Safie related that her mother was a Christian Arab, seized and made a
slave by the Turks; recommended by her beauty, she had won the heart of
the father of Safie, who married her. The young girl spoke in high and
enthusiastic terms of her mother, who, born in freedom, spurned the
bondage to which she was now reduced. She instructed her daughter in
the tenets of her religion and taught her to aspire to higher powers of
intellect and an independence of spirit forbidden to the female
followers of Muhammad. This lady died, but her lessons were indelibly
impressed on the mind of Safie, who sickened at the prospect of again
returning to Asia and being immured within the walls of a harem,
allowed only to occupy herself with infantile amusements, ill-suited to
the temper of her soul, now accustomed to grand ideas and a noble
emulation for virtue. The prospect of marrying a Christian and
remaining in a country where women were allowed to take a rank in
society was enchanting to her.</t>
  </si>
  <si>
    <t xml:space="preserve">letters, writing</t>
  </si>
  <si>
    <t xml:space="preserve">“Elizabeth Lavenza. “Geneva, March 18th, 17—.” “Dear, dear Elizabeth!” I exclaimed, when I had read her
letter: “I will write instantly and relieve them from the anxiety
they must feel.” I wrote, and this exertion greatly fatigued me; but
my convalescence had commenced, and proceeded regularly. In another
fortnight I was able to leave my chamber. One of my first duties on my recovery was to introduce Clerval to the
several professors of the university. In doing this, I underwent a
kind of rough usage, ill befitting the wounds that my mind had
sustained. Ever since the fatal night, the end of my labours, and the
beginning of my misfortunes, I had conceived a violent antipathy even
to the name of natural philosophy. When I was otherwise quite restored
to health, the sight of a chemical instrument would renew all the agony
of my nervous symptoms. Henry saw this, and had removed all my
apparatus from my view. He had also changed my apartment; for he
perceived that I had acquired a dislike for the room which had
previously been my laboratory. But these cares of Clerval were made of
no avail when I visited the professors. M. Waldman inflicted torture
when he praised, with kindness and warmth, the astonishing progress I
had made in the sciences. He soon perceived that I disliked the
subject; but not guessing the real cause, he attributed my feelings to
modesty, and changed the subject from my improvement, to the science
itself, with a desire, as I evidently saw, of drawing me out. What
could I do? He meant to please, and he tormented me. I felt as if he
had placed carefully, one by one, in my view those instruments which
were to be afterwards used in putting me to a slow and cruel death. I
writhed under his words, yet dared not exhibit the pain I felt.
Clerval, whose eyes and feelings were always quick in discerning the
sensations of others, declined the subject, alleging, in excuse, his
total ignorance; and the conversation took a more general turn. I
thanked my friend from my heart, but I did not speak. I saw plainly
that he was surprised, but he never attempted to draw my secret from
me; and although I loved him with a mixture of affection and reverence
that knew no bounds, yet I could never persuade myself to confide in
him that event which was so often present to my recollection, but which
I feared the detail to another would only impress more deeply.</t>
  </si>
  <si>
    <t xml:space="preserve">letter, write, wrote</t>
  </si>
  <si>
    <t xml:space="preserve">reading</t>
  </si>
  <si>
    <t xml:space="preserve">“I can hardly describe to you the effect of these books. They produced
in me an infinity of new images and feelings, that sometimes raised me
to ecstasy, but more frequently sunk me into the lowest dejection. In
the _Sorrows of Werter_, besides the interest of its simple and affecting
story, so many opinions are canvassed and so many lights thrown upon
what had hitherto been to me obscure subjects that I found in it a
never-ending source of speculation and astonishment. The gentle and
domestic manners it described, combined with lofty sentiments and
feelings, which had for their object something out of self, accorded
well with my experience among my protectors and with the wants which
were for ever alive in my own bosom. But I thought Werter himself a
more divine being than I had ever beheld or imagined; his character
contained no pretension, but it sank deep. The disquisitions upon
death and suicide were calculated to fill me with wonder. I did not
pretend to enter into the merits of the case, yet I inclined towards
the opinions of the hero, whose extinction I wept, without precisely
understanding it. “As I read, however, I applied much personally to my own feelings and
condition. I found myself similar yet at the same time strangely
unlike to the beings concerning whom I read and to whose conversation I
was a listener. I sympathised with and partly understood them, but I
was unformed in mind; I was dependent on none and related to none.
‘The path of my departure was free,’ and there was none to lament my
annihilation. My person was hideous and my stature gigantic. What did
this mean? Who was I? What was I? Whence did I come? What was my
destination? These questions continually recurred, but I was unable to
solve them.</t>
  </si>
  <si>
    <t xml:space="preserve">books, read, werter</t>
  </si>
  <si>
    <t xml:space="preserve">If, instead of this remark, my father had taken the pains to explain to me
that the principles of Agrippa had been entirely exploded and that a modern
system of science had been introduced which possessed much greater powers
than the ancient, because the powers of the latter were chimerical, while
those of the former were real and practical, under such circumstances I
should certainly have thrown Agrippa aside and have contented my
imagination, warmed as it was, by returning with greater ardour to my
former studies. It is even possible that the train of my ideas would never
have received the fatal impulse that led to my ruin. But the cursory glance
my father had taken of my volume by no means assured me that he was
acquainted with its contents, and I continued to read with the greatest
avidity. When I returned home my first care was to procure the whole works of this
author, and afterwards of Paracelsus and Albertus Magnus. I read and
studied the wild fancies of these writers with delight; they appeared to me
treasures known to few besides myself. I have described myself as always
having been imbued with a fervent longing to penetrate the secrets of
nature. In spite of the intense labour and wonderful discoveries of modern
philosophers, I always came from my studies discontented and unsatisfied.
Sir Isaac Newton is said to have avowed that he felt like a child picking
up shells beside the great and unexplored ocean of truth. Those of his
successors in each branch of natural philosophy with whom I was acquainted
appeared even to my boy’s apprehensions as tyros engaged in the same
pursuit.</t>
  </si>
  <si>
    <t xml:space="preserve">read, studied, volume</t>
  </si>
  <si>
    <t xml:space="preserve">“She arrived in safety at a town about twenty leagues from the cottage
of De Lacey, when her attendant fell dangerously ill. Safie nursed her
with the most devoted affection, but the poor girl died, and the
Arabian was left alone, unacquainted with the language of the country
and utterly ignorant of the customs of the world. She fell, however,
into good hands. The Italian had mentioned the name of the spot for
which they were bound, and after her death the woman of the house in
which they had lived took care that Safie should arrive in safety at
the cottage of her lover.” Chapter 15 “Such was the history of my beloved cottagers. It impressed me deeply.
I learned, from the views of social life which it developed, to admire
their virtues and to deprecate the vices of mankind. “As yet I looked upon crime as a distant evil, benevolence and
generosity were ever present before me, inciting within me a desire to
become an actor in the busy scene where so many admirable qualities
were called forth and displayed. But in giving an account of the
progress of my intellect, I must not omit a circumstance which occurred
in the beginning of the month of August of the same year. “One night during my accustomed visit to the neighbouring wood where I
collected my own food and brought home firing for my protectors, I found on
the ground a leathern portmanteau containing several articles of dress and
some books. I eagerly seized the prize and returned with it to my hovel. 
Fortunately the books were written in the language, the elements of which I
had acquired at the cottage; they consisted of _Paradise Lost_, a volume
of _Plutarch’s Lives_, and the _Sorrows of Werter_. The
possession of these treasures gave me extreme delight; I now continually
studied and exercised my mind upon these histories, whilst my friends were
employed in their ordinary occupations.</t>
  </si>
  <si>
    <t xml:space="preserve">books, studied, volume</t>
  </si>
  <si>
    <t xml:space="preserve">“I could mention innumerable instances which, although slight, marked
the dispositions of these amiable cottagers. In the midst of poverty
and want, Felix carried with pleasure to his sister the first little
white flower that peeped out from beneath the snowy ground. Early in
the morning, before she had risen, he cleared away the snow that
obstructed her path to the milk-house, drew water from the well, and
brought the wood from the outhouse, where, to his perpetual
astonishment, he found his store always replenished by an invisible
hand. In the day, I believe, he worked sometimes for a neighbouring
farmer, because he often went forth and did not return until dinner,
yet brought no wood with him. At other times he worked in the garden,
but as there was little to do in the frosty season, he read to the old
man and Agatha. “This reading had puzzled me extremely at first, but by degrees I
discovered that he uttered many of the same sounds when he read as when
he talked. I conjectured, therefore, that he found on the paper signs
for speech which he understood, and I ardently longed to comprehend
these also; but how was that possible when I did not even understand
the sounds for which they stood as signs? I improved, however,
sensibly in this science, but not sufficiently to follow up any kind of
conversation, although I applied my whole mind to the endeavour, for I
easily perceived that, although I eagerly longed to discover myself to
the cottagers, I ought not to make the attempt until I had first become
master of their language, which knowledge might enable me to make them
overlook the deformity of my figure, for with this also the contrast
perpetually presented to my eyes had made me acquainted.</t>
  </si>
  <si>
    <t xml:space="preserve">read, reading</t>
  </si>
  <si>
    <t xml:space="preserve">Chapter 7</t>
  </si>
  <si>
    <t xml:space="preserve">support</t>
  </si>
  <si>
    <t xml:space="preserve">hard_negative</t>
  </si>
  <si>
    <t xml:space="preserve">“Your affectionate and afflicted father, “Alphonse Frankenstein. “Geneva, May 12th, 17—.” Clerval, who had watched my countenance as I read this letter, was
surprised to observe the despair that succeeded the joy I at first
expressed on receiving news from my friends. I threw the letter on the
table, and covered my face with my hands. “My dear Frankenstein,” exclaimed Henry, when he perceived me
weep with bitterness, “are you always to be unhappy? My dear friend,
what has happened?” I motioned him to take up the letter, while I walked up and down the
room in the extremest agitation. Tears also gushed from the eyes of
Clerval, as he read the account of my misfortune. “I can offer you no consolation, my friend,” said he;
“your disaster is irreparable. What do you intend to do?” “To go instantly to Geneva: come with me, Henry, to order the horses.” During our walk, Clerval endeavoured to say a few words of consolation;
he could only express his heartfelt sympathy. “Poor William!” said he,
“dear lovely child, he now sleeps with his angel mother! Who that had
seen him bright and joyous in his young beauty, but must weep over his
untimely loss! To die so miserably; to feel the murderer’s grasp! How
much more a murdered that could destroy radiant innocence! Poor little
fellow! one only consolation have we; his friends mourn and weep, but
he is at rest. The pang is over, his sufferings are at an end for ever.
A sod covers his gentle form, and he knows no pain. He can no longer
be a subject for pity; we must reserve that for his miserable
survivors.”</t>
  </si>
  <si>
    <t xml:space="preserve">affectionate, consolation, gentle, sympathy</t>
  </si>
  <si>
    <t xml:space="preserve">Chapter 24</t>
  </si>
  <si>
    <t xml:space="preserve">Must I then lose this admirable being? I have longed for a friend; I have
sought one who would sympathise with and love me. Behold, on these desert
seas I have found such a one, but I fear I have gained him only to know his
value and lose him. I would reconcile him to life, but he repulses the idea. “I thank you, Walton,” he said, “for your kind intentions towards so
miserable a wretch; but when you speak of new ties and fresh
affections, think you that any can replace those who are gone? Can any
man be to me as Clerval was, or any woman another Elizabeth? Even
where the affections are not strongly moved by any superior excellence,
the companions of our childhood always possess a certain power over our
minds which hardly any later friend can obtain. They know our
infantine dispositions, which, however they may be afterwards modified,
are never eradicated; and they can judge of our actions with more
certain conclusions as to the integrity of our motives. A sister or a
brother can never, unless indeed such symptoms have been shown early,
suspect the other of fraud or false dealing, when another friend,
however strongly he may be attached, may, in spite of himself, be
contemplated with suspicion. But I enjoyed friends, dear not only
through habit and association, but from their own merits; and wherever
I am, the soothing voice of my Elizabeth and the conversation of
Clerval will be ever whispered in my ear. They are dead, and but one
feeling in such a solitude can persuade me to preserve my life. If I
were engaged in any high undertaking or design, fraught with extensive
utility to my fellow creatures, then could I live to fulfil it. But
such is not my destiny; I must pursue and destroy the being to whom I
gave existence; then my lot on earth will be fulfilled and I may die.”</t>
  </si>
  <si>
    <t xml:space="preserve">affections, kind, soothing, sympathise</t>
  </si>
  <si>
    <t xml:space="preserve">Chapter 21</t>
  </si>
  <si>
    <t xml:space="preserve">“I fear that this place is very shocking to you; can I do anything to
make you more comfortable?” “I thank you, but all that you mention is nothing to me; on the whole
earth there is no comfort which I am capable of receiving.” “I know that the sympathy of a stranger can be but of little relief to
one borne down as you are by so strange a misfortune. But you will, I
hope, soon quit this melancholy abode, for doubtless evidence can
easily be brought to free you from the criminal charge.” “That is my least concern; I am, by a course of strange events, become
the most miserable of mortals. Persecuted and tortured as I am and
have been, can death be any evil to me?” “Nothing indeed could be more unfortunate and agonising than the
strange chances that have lately occurred. You were thrown, by some
surprising accident, on this shore, renowned for its hospitality,
seized immediately, and charged with murder. The first sight that was
presented to your eyes was the body of your friend, murdered in so
unaccountable a manner and placed, as it were, by some fiend across
your path.” As Mr. Kirwin said this, notwithstanding the agitation I endured on
this retrospect of my sufferings, I also felt considerable surprise at
the knowledge he seemed to possess concerning me. I suppose some
astonishment was exhibited in my countenance, for Mr. Kirwin hastened
to say, “Immediately upon your being taken ill, all the papers that were on
your person were brought me, and I examined them that I might discover some
trace by which I could send to your relations an account of your misfortune
and illness. I found several letters, and, among others, one which I
discovered from its commencement to be from your father. I instantly wrote
to Geneva; nearly two months have elapsed since the departure of my letter.
But you are ill; even now you tremble; you are unfit for agitation of any
kind.”</t>
  </si>
  <si>
    <t xml:space="preserve">comfort, comfortable, kind, sympathy</t>
  </si>
  <si>
    <t xml:space="preserve">Chapter 17</t>
  </si>
  <si>
    <t xml:space="preserve">His words had a strange effect upon me. I compassionated him and
sometimes felt a wish to console him, but when I looked upon him, when
I saw the filthy mass that moved and talked, my heart sickened and my
feelings were altered to those of horror and hatred. I tried to stifle
these sensations; I thought that as I could not sympathise with him, I
had no right to withhold from him the small portion of happiness which
was yet in my power to bestow. “You swear,” I said, “to be harmless; but have you not
already shown a degree of malice that should reasonably make me distrust
you? May not even this be a feint that will increase your triumph by
affording a wider scope for your revenge?” “How is this? I must not be trifled with, and I demand an answer. If
I have no ties and no affections, hatred and vice must be my portion;
the love of another will destroy the cause of my crimes, and I shall
become a thing of whose existence everyone will be ignorant. My vices
are the children of a forced solitude that I abhor, and my virtues will
necessarily arise when I live in communion with an equal. I shall feel
the affections of a sensitive being and become linked to the chain of
existence and events from which I am now excluded.” I paused some time to reflect on all he had related and the various
arguments which he had employed. I thought of the promise of virtues which
he had displayed on the opening of his existence and the subsequent blight
of all kindly feeling by the loathing and scorn which his protectors had
manifested towards him. His power and threats were not omitted in my
calculations; a creature who could exist in the ice-caves of the glaciers
and hide himself from pursuit among the ridges of inaccessible precipices
was a being possessing faculties it would be vain to cope with. After a
long pause of reflection I concluded that the justice due both to him and
my fellow creatures demanded of me that I should comply with his request.
Turning to him, therefore, I said,</t>
  </si>
  <si>
    <t xml:space="preserve">affections, console, kindly, sympathise</t>
  </si>
  <si>
    <t xml:space="preserve">As the images that floated before me became more distinct, I grew
feverish; a darkness pressed around me; no one was near me who soothed
me with the gentle voice of love; no dear hand supported me. The
physician came and prescribed medicines, and the old woman prepared
them for me; but utter carelessness was visible in the first, and the
expression of brutality was strongly marked in the visage of the
second. Who could be interested in the fate of a murderer but the
hangman who would gain his fee? These were my first reflections, but I soon learned that Mr. Kirwin had
shown me extreme kindness. He had caused the best room in the prison
to be prepared for me (wretched indeed was the best); and it was he who
had provided a physician and a nurse. It is true, he seldom came to
see me, for although he ardently desired to relieve the sufferings of
every human creature, he did not wish to be present at the agonies and
miserable ravings of a murderer. He came, therefore, sometimes to see
that I was not neglected, but his visits were short and with long
intervals. One day, while I was gradually recovering, I was seated in a chair, my eyes
half open and my cheeks livid like those in death. I was overcome by gloom
and misery and often reflected I had better seek death than desire to
remain in a world which to me was replete with wretchedness. At one time I
considered whether I should not declare myself guilty and suffer the
penalty of the law, less innocent than poor Justine had been. Such were my
thoughts when the door of my apartment was opened and Mr. Kirwin entered.
His countenance expressed sympathy and compassion; he drew a chair close to
mine and addressed me in French,</t>
  </si>
  <si>
    <t xml:space="preserve">gentle, kindness, soothed, sympathy</t>
  </si>
  <si>
    <t xml:space="preserve">reflection_despair</t>
  </si>
  <si>
    <t xml:space="preserve">Chapter 20</t>
  </si>
  <si>
    <t xml:space="preserve">“You have destroyed the work which you began; what is it that you
intend? Do you dare to break your promise? I have endured toil and misery;
I left Switzerland with you; I crept along the shores of the Rhine, among
its willow islands and over the summits of its hills. I have dwelt many
months in the heaths of England and among the deserts of Scotland. I have
endured incalculable fatigue, and cold, and hunger; do you dare destroy my
hopes?” “Begone! I do break my promise; never will I create another like
yourself, equal in deformity and wickedness.” “Slave, I before reasoned with you, but you have proved yourself
unworthy of my condescension. Remember that I have power; you believe
yourself miserable, but I can make you so wretched that the light of
day will be hateful to you. You are my creator, but I am your master;
obey!” “The hour of my irresolution is past, and the period of your power is
arrived. Your threats cannot move me to do an act of wickedness; but
they confirm me in a determination of not creating you a companion in
vice. Shall I, in cool blood, set loose upon the earth a dæmon whose
delight is in death and wretchedness? Begone! I am firm, and your
words will only exasperate my rage.” The monster saw my determination in my face and gnashed his teeth in the
impotence of anger. “Shall each man,” cried he, “find a
wife for his bosom, and each beast have his mate, and I be alone? I had
feelings of affection, and they were requited by detestation and scorn.
Man! You may hate, but beware! Your hours will pass in dread and misery,
and soon the bolt will fall which must ravish from you your happiness for
ever. Are you to be happy while I grovel in the intensity of my
wretchedness? You can blast my other passions, but revenge
remains—revenge, henceforth dearer than light or food! I may die, but
first you, my tyrant and tormentor, shall curse the sun that gazes on your
misery. Beware, for I am fearless and therefore powerful. I will watch with
the wiliness of a snake, that I may sting with its venom. Man, you shall
repent of the injuries you inflict.”</t>
  </si>
  <si>
    <t xml:space="preserve">miserable, misery, past, remember, wretched, wretchedness</t>
  </si>
  <si>
    <t xml:space="preserve">Chapter 23</t>
  </si>
  <si>
    <t xml:space="preserve">I arrived at Geneva. My father and Ernest yet lived, but the former sunk
under the tidings that I bore. I see him now, excellent and venerable old
man! His eyes wandered in vacancy, for they had lost their charm and their
delight—his Elizabeth, his more than daughter, whom he doted on with
all that affection which a man feels, who in the decline of life, having
few affections, clings more earnestly to those that remain. Cursed, cursed
be the fiend that brought misery on his grey hairs and doomed him to waste
in wretchedness! He could not live under the horrors that were accumulated
around him; the springs of existence suddenly gave way; he was unable to
rise from his bed, and in a few days he died in my arms. What then became of me? I know not; I lost sensation, and chains and
darkness were the only objects that pressed upon me. Sometimes,
indeed, I dreamt that I wandered in flowery meadows and pleasant vales
with the friends of my youth, but I awoke and found myself in a
dungeon. Melancholy followed, but by degrees I gained a clear
conception of my miseries and situation and was then released from my
prison. For they had called me mad, and during many months, as I
understood, a solitary cell had been my habitation. Liberty, however, had been a useless gift to me, had I not, as I
awakened to reason, at the same time awakened to revenge. As the
memory of past misfortunes pressed upon me, I began to reflect on their
cause—the monster whom I had created, the miserable dæmon whom I had
sent abroad into the world for my destruction. I was possessed by a
maddening rage when I thought of him, and desired and ardently prayed
that I might have him within my grasp to wreak a great and signal
revenge on his cursed head.</t>
  </si>
  <si>
    <t xml:space="preserve">memory, miserable, miseries, misery, past, reflect, wretchedness</t>
  </si>
  <si>
    <t xml:space="preserve">I remained motionless. The thunder ceased; but the rain still
continued, and the scene was enveloped in an impenetrable darkness. I
revolved in my mind the events which I had until now sought to forget:
the whole train of my progress toward the creation; the appearance of
the works of my own hands at my bedside; its departure. Two years had
now nearly elapsed since the night on which he first received life; and
was this his first crime? Alas! I had turned loose into the world a
depraved wretch, whose delight was in carnage and misery; had he not
murdered my brother? No one can conceive the anguish I suffered during the remainder of the
night, which I spent, cold and wet, in the open air. But I did not
feel the inconvenience of the weather; my imagination was busy in
scenes of evil and despair. I considered the being whom I had cast
among mankind, and endowed with the will and power to effect purposes
of horror, such as the deed which he had now done, nearly in the light
of my own vampire, my own spirit let loose from the grave, and forced
to destroy all that was dear to me. Day dawned; and I directed my steps towards the town. The gates were
open, and I hastened to my father’s house. My first thought was to
discover what I knew of the murderer, and cause instant pursuit to be
made. But I paused when I reflected on the story that I had to tell. A
being whom I myself had formed, and endued with life, had met me at
midnight among the precipices of an inaccessible mountain. I
remembered also the nervous fever with which I had been seized just at
the time that I dated my creation, and which would give an air of
delirium to a tale otherwise so utterly improbable. I well knew that
if any other had communicated such a relation to me, I should have
looked upon it as the ravings of insanity. Besides, the strange nature
of the animal would elude all pursuit, even if I were so far credited
as to persuade my relatives to commence it. And then of what use would
be pursuit? Who could arrest a creature capable of scaling the
overhanging sides of Mont Salêve? These reflections determined me, and
I resolved to remain silent.</t>
  </si>
  <si>
    <t xml:space="preserve">anguish, despair, misery, reflected, reflections, remembered</t>
  </si>
  <si>
    <t xml:space="preserve">Chapter 10</t>
  </si>
  <si>
    <t xml:space="preserve">“Abhorred monster! Fiend that thou art! The tortures of hell are too
mild a vengeance for thy crimes. Wretched devil! You reproach me with
your creation, come on, then, that I may extinguish the spark which I
so negligently bestowed.” My rage was without bounds; I sprang on him, impelled by all the
feelings which can arm one being against the existence of another. He easily eluded me and said, “Be calm! I entreat you to hear me before you give vent to your hatred
on my devoted head. Have I not suffered enough, that you seek to
increase my misery? Life, although it may only be an accumulation of
anguish, is dear to me, and I will defend it. Remember, thou hast made
me more powerful than thyself; my height is superior to thine, my
joints more supple. But I will not be tempted to set myself in
opposition to thee. I am thy creature, and I will be even mild and
docile to my natural lord and king if thou wilt also perform thy part,
the which thou owest me. Oh, Frankenstein, be not equitable to every
other and trample upon me alone, to whom thy justice, and even thy
clemency and affection, is most due. Remember that I am thy creature;
I ought to be thy Adam, but I am rather the fallen angel, whom thou
drivest from joy for no misdeed. Everywhere I see bliss, from which I
alone am irrevocably excluded. I was benevolent and good; misery made
me a fiend. Make me happy, and I shall again be virtuous.”</t>
  </si>
  <si>
    <t xml:space="preserve">anguish, misery, remember, wretched</t>
  </si>
  <si>
    <t xml:space="preserve">“After the murder of Clerval I returned to Switzerland, heart-broken
and overcome. I pitied Frankenstein; my pity amounted to horror; I
abhorred myself. But when I discovered that he, the author at once of
my existence and of its unspeakable torments, dared to hope for
happiness, that while he accumulated wretchedness and despair upon me
he sought his own enjoyment in feelings and passions from the
indulgence of which I was for ever barred, then impotent envy and bitter
indignation filled me with an insatiable thirst for vengeance. I
recollected my threat and resolved that it should be accomplished. I
knew that I was preparing for myself a deadly torture, but I was the
slave, not the master, of an impulse which I detested yet could not
disobey. Yet when she died! Nay, then I was not miserable. I had
cast off all feeling, subdued all anguish, to riot in the excess of my
despair. Evil thenceforth became my good. Urged thus far, I had no
choice but to adapt my nature to an element which I had willingly
chosen. The completion of my demoniacal design became an insatiable
passion. And now it is ended; there is my last victim!” I was at first touched by the expressions of his misery; yet, when I called
to mind what Frankenstein had said of his powers of eloquence and
persuasion, and when I again cast my eyes on the lifeless form of my
friend, indignation was rekindled within me. “Wretch!” I said.
“It is well that you come here to whine over the desolation that you
have made. You throw a torch into a pile of buildings, and when they are
consumed, you sit among the ruins and lament the fall. Hypocritical fiend!
If he whom you mourn still lived, still would he be the object, again would
he become the prey, of your accursed vengeance. It is not pity that you
feel; you lament only because the victim of your malignity is withdrawn
from your power.”</t>
  </si>
  <si>
    <t xml:space="preserve">anguish, despair, miserable, misery, recollected, wretchedness</t>
  </si>
  <si>
    <t xml:space="preserve">random</t>
  </si>
  <si>
    <t xml:space="preserve">“A considerable period elapsed before I discovered one of the causes of
the uneasiness of this amiable family: it was poverty, and they
suffered that evil in a very distressing degree. Their nourishment
consisted entirely of the vegetables of their garden and the milk of
one cow, which gave very little during the winter, when its masters
could scarcely procure food to support it. They often, I believe,
suffered the pangs of hunger very poignantly, especially the two
younger cottagers, for several times they placed food before the old
man when they reserved none for themselves. “This trait of kindness moved me sensibly. I had been accustomed,
during the night, to steal a part of their store for my own
consumption, but when I found that in doing this I inflicted pain on
the cottagers, I abstained and satisfied myself with berries, nuts, and
roots which I gathered from a neighbouring wood. “I discovered also another means through which I was enabled to assist
their labours. I found that the youth spent a great part of each day
in collecting wood for the family fire, and during the night I often
took his tools, the use of which I quickly discovered, and brought home
firing sufficient for the consumption of several days. “I remember, the first time that I did this, the young woman, when she
opened the door in the morning, appeared greatly astonished on seeing a great
pile of wood on the outside. She uttered some words in a loud voice, and the
youth joined her, who also expressed surprise. I observed, with pleasure,
that he did not go to the forest that day, but spent it in repairing the
cottage and cultivating the garden.</t>
  </si>
  <si>
    <t xml:space="preserve">The untaught peasant beheld the elements around him and was acquainted
with their practical uses. The most learned philosopher knew little
more. He had partially unveiled the face of Nature, but her immortal
lineaments were still a wonder and a mystery. He might dissect,
anatomise, and give names; but, not to speak of a final cause, causes
in their secondary and tertiary grades were utterly unknown to him. I
had gazed upon the fortifications and impediments that seemed to keep
human beings from entering the citadel of nature, and rashly and
ignorantly I had repined. But here were books, and here were men who had penetrated deeper and knew
more. I took their word for all that they averred, and I became their
disciple. It may appear strange that such should arise in the eighteenth
century; but while I followed the routine of education in the schools of
Geneva, I was, to a great degree, self-taught with regard to my favourite
studies. My father was not scientific, and I was left to struggle with a
child’s blindness, added to a student’s thirst for knowledge.
Under the guidance of my new preceptors I entered with the greatest
diligence into the search of the philosopher’s stone and the elixir
of life; but the latter soon obtained my undivided attention. Wealth was an
inferior object, but what glory would attend the discovery if I could
banish disease from the human frame and render man invulnerable to any but
a violent death! Nor were these my only visions. The raising of ghosts or devils was a
promise liberally accorded by my favourite authors, the fulfilment of which
I most eagerly sought; and if my incantations were always unsuccessful, I
attributed the failure rather to my own inexperience and mistake than to a
want of skill or fidelity in my instructors. And thus for a time I was
occupied by exploded systems, mingling, like an unadept, a thousand
contradictory theories and floundering desperately in a very slough of
multifarious knowledge, guided by an ardent imagination and childish
reasoning, till an accident again changed the current of my ideas.</t>
  </si>
  <si>
    <t xml:space="preserve">Chapter 19</t>
  </si>
  <si>
    <t xml:space="preserve">We had arrived in England at the beginning of October, and it was now
February. We accordingly determined to commence our journey towards the
north at the expiration of another month. In this expedition we did not
intend to follow the great road to Edinburgh, but to visit Windsor, Oxford,
Matlock, and the Cumberland lakes, resolving to arrive at the completion of
this tour about the end of July. I packed up my chemical instruments and
the materials I had collected, resolving to finish my labours in some
obscure nook in the northern highlands of Scotland. We quitted London on the 27th of March and remained a few days at
Windsor, rambling in its beautiful forest. This was a new scene to us
mountaineers; the majestic oaks, the quantity of game, and the herds of
stately deer were all novelties to us. From thence we proceeded to Oxford. As we entered this city, our minds
were filled with the remembrance of the events that had been transacted
there more than a century and a half before. It was here that Charles
I. had collected his forces. This city had remained faithful to him,
after the whole nation had forsaken his cause to join the standard of
Parliament and liberty. The memory of that unfortunate king and his
companions, the amiable Falkland, the insolent Goring, his queen, and
son, gave a peculiar interest to every part of the city which they
might be supposed to have inhabited. The spirit of elder days found a
dwelling here, and we delighted to trace its footsteps. If these
feelings had not found an imaginary gratification, the appearance of
the city had yet in itself sufficient beauty to obtain our admiration.
The colleges are ancient and picturesque; the streets are almost
magnificent; and the lovely Isis, which flows beside it through meadows
of exquisite verdure, is spread forth into a placid expanse of waters,
which reflects its majestic assemblage of towers, and spires, and
domes, embosomed among aged trees.</t>
  </si>
  <si>
    <t xml:space="preserve">Mr. Kirwin, on hearing this evidence, desired that I should be taken into
the room where the body lay for interment, that it might be observed what
effect the sight of it would produce upon me. This idea was probably
suggested by the extreme agitation I had exhibited when the mode of the
murder had been described. I was accordingly conducted, by the magistrate
and several other persons, to the inn. I could not help being struck by the
strange coincidences that had taken place during this eventful night; but,
knowing that I had been conversing with several persons in the island I had
inhabited about the time that the body had been found, I was perfectly
tranquil as to the consequences of the affair. I entered the room where the corpse lay and was led up to the coffin. How
can I describe my sensations on beholding it? I feel yet parched with
horror, nor can I reflect on that terrible moment without shuddering and
agony. The examination, the presence of the magistrate and witnesses,
passed like a dream from my memory when I saw the lifeless form of Henry
Clerval stretched before me. I gasped for breath, and throwing myself on
the body, I exclaimed, “Have my murderous machinations deprived you
also, my dearest Henry, of life? Two I have already destroyed; other
victims await their destiny; but you, Clerval, my friend, my
benefactor—” The human frame could no longer support the agonies that I endured, and
I was carried out of the room in strong convulsions.</t>
  </si>
  <si>
    <t xml:space="preserve">Batch 03 Annotation Guide</t>
  </si>
  <si>
    <t xml:space="preserve">Yellow columns on 'Label Here' are yours to fill. Grey columns show how the passage was found. Don't edit them.</t>
  </si>
  <si>
    <t xml:space="preserve">Progress</t>
  </si>
  <si>
    <t xml:space="preserve">Passages labelled</t>
  </si>
  <si>
    <t xml:space="preserve">Therapeutic (1)</t>
  </si>
  <si>
    <t xml:space="preserve">Not therapeutic (0)</t>
  </si>
  <si>
    <t xml:space="preserve">Marked unsure</t>
  </si>
  <si>
    <t xml:space="preserve">Notes written</t>
  </si>
  <si>
    <t xml:space="preserve">  Narrative Reconstruction</t>
  </si>
  <si>
    <t xml:space="preserve">  Emotional Catharsis</t>
  </si>
  <si>
    <t xml:space="preserve">  Scriptotherapy</t>
  </si>
  <si>
    <t xml:space="preserve">  Poetry-mediated Processing</t>
  </si>
  <si>
    <t xml:space="preserve">  Music-mediated Processing</t>
  </si>
  <si>
    <t xml:space="preserve">Steps</t>
  </si>
  <si>
    <t xml:space="preserve">1. Read the passage fully</t>
  </si>
  <si>
    <t xml:space="preserve">Decide from the whole passage. The 'target' column only says how it was found, not what it is. Keyword columns are hidden on purpose.</t>
  </si>
  <si>
    <t xml:space="preserve">2. Fill the yellow columns</t>
  </si>
  <si>
    <t xml:space="preserve">therapeutic_label, mechanism, secondary_mechanism, intensity, annotator_confidence, annotator_notes. Use the dropdowns.</t>
  </si>
  <si>
    <t xml:space="preserve">3. Watch the colours</t>
  </si>
  <si>
    <t xml:space="preserve">Red = something missing (e.g. label 1 but no mechanism). Orange = contradiction (e.g. label 0 but intensity 3).</t>
  </si>
  <si>
    <t xml:space="preserve">4. Write notes in your own words</t>
  </si>
  <si>
    <t xml:space="preserve">1–2 sentences, informal is fine. Say WHY, e.g. 'music calms him and he starts to reflect, but it's brief'.</t>
  </si>
  <si>
    <t xml:space="preserve">5. Mark 'unsure' honestly</t>
  </si>
  <si>
    <t xml:space="preserve">Those passages become the questions you bring to Dr. Neha.</t>
  </si>
  <si>
    <t xml:space="preserve">6. Save as CSV</t>
  </si>
  <si>
    <t xml:space="preserve">Excel: File &gt; Save As &gt; CSV (with 'Label Here' as the active sheet). Google Sheets: File &gt; Download &gt; CSV. Name it frankenstein_batch03_labelled.csv.</t>
  </si>
  <si>
    <t xml:space="preserve">7. Merge</t>
  </si>
  <si>
    <t xml:space="preserve">In notebook 12, set MERGE_NOW = True and run Section 9.</t>
  </si>
  <si>
    <t xml:space="preserve">Decision flow (from your guidelines)</t>
  </si>
  <si>
    <t xml:space="preserve">Q1. Is there processing?</t>
  </si>
  <si>
    <t xml:space="preserve">Does the passage show emotional processing, meaning-making, reflection leading to understanding, or release through expression? Emotion alone, trauma alone, or memory alone = 0.</t>
  </si>
  <si>
    <t xml:space="preserve">Q2. How?</t>
  </si>
  <si>
    <t xml:space="preserve">Pick the ONE mechanism that best describes how the processing happens.</t>
  </si>
  <si>
    <t xml:space="preserve">Q3. Anything else clearly present?</t>
  </si>
  <si>
    <t xml:space="preserve">If a second mechanism is clearly there too, put it in secondary_mechanism. Otherwise leave it blank.</t>
  </si>
  <si>
    <t xml:space="preserve">Q4. How strong?</t>
  </si>
  <si>
    <t xml:space="preserve">Intensity 1–5 (scale below). Use 0 for passages labelled 0.</t>
  </si>
  <si>
    <t xml:space="preserve">Q5. How sure are you?</t>
  </si>
  <si>
    <t xml:space="preserve">sure / unsure.</t>
  </si>
  <si>
    <t xml:space="preserve">Your v1.1 rules (apply the same choice to all 40)</t>
  </si>
  <si>
    <t xml:space="preserve">Attempt vs outcome</t>
  </si>
  <si>
    <t xml:space="preserve">Does reflection that ends in despair count? Decide once, write it down, apply it everywhere.</t>
  </si>
  <si>
    <t xml:space="preserve">Support vs catharsis</t>
  </si>
  <si>
    <t xml:space="preserve">Your v1.0 counts 'receiving emotional support' as catharsis. Keep or change it in v1.1, but be consistent.</t>
  </si>
  <si>
    <t xml:space="preserve">Intensity anchors</t>
  </si>
  <si>
    <t xml:space="preserve">Use your anchor passages so 1, 2 and 5 get used, not only 3 and 4.</t>
  </si>
  <si>
    <t xml:space="preserve">Mechanism definitions (guidelines v1.0)</t>
  </si>
  <si>
    <t xml:space="preserve">Narrative Reconstruction</t>
  </si>
  <si>
    <t xml:space="preserve">A character reorganizes past experiences into a meaningful personal narrative.</t>
  </si>
  <si>
    <t xml:space="preserve">Emotional Catharsis</t>
  </si>
  <si>
    <t xml:space="preserve">Emotional expression or interpersonal exchange that allows release or regulation of distress.</t>
  </si>
  <si>
    <t xml:space="preserve">Scriptotherapy</t>
  </si>
  <si>
    <t xml:space="preserve">Writing or storytelling used as a means of emotional processing.</t>
  </si>
  <si>
    <t xml:space="preserve">Poetry-mediated Processing</t>
  </si>
  <si>
    <t xml:space="preserve">Poetic expression used for emotional understanding or transformation.</t>
  </si>
  <si>
    <t xml:space="preserve">Music-mediated Processing</t>
  </si>
  <si>
    <t xml:space="preserve">Music or artistic sound experiences used for emotional regulation or reflection.</t>
  </si>
  <si>
    <t xml:space="preserve">Intensity scale (guidelines v1.0)</t>
  </si>
  <si>
    <t xml:space="preserve">0</t>
  </si>
  <si>
    <t xml:space="preserve">Not therapeutic (label 0)</t>
  </si>
  <si>
    <t xml:space="preserve">1 – Very weak</t>
  </si>
  <si>
    <t xml:space="preserve">Minimal indication of therapeutic meaning.</t>
  </si>
  <si>
    <t xml:space="preserve">2 – Weak</t>
  </si>
  <si>
    <t xml:space="preserve">Some emotional reflection but limited processing.</t>
  </si>
  <si>
    <t xml:space="preserve">3 – Moderate</t>
  </si>
  <si>
    <t xml:space="preserve">Clear emotional processing or meaning-making.</t>
  </si>
  <si>
    <t xml:space="preserve">4 – Strong</t>
  </si>
  <si>
    <t xml:space="preserve">Deep reflection and significant narrative transformation.</t>
  </si>
  <si>
    <t xml:space="preserve">5 – Very strong</t>
  </si>
  <si>
    <t xml:space="preserve">Major emotional transformation or resolution.</t>
  </si>
  <si>
    <t xml:space="preserve">Principles (guidelines v1.0)</t>
  </si>
  <si>
    <t xml:space="preserve">•</t>
  </si>
  <si>
    <t xml:space="preserve">Emotion alone does not equal therapeutic representation.</t>
  </si>
  <si>
    <t xml:space="preserve">Trauma alone does not equal healing.</t>
  </si>
  <si>
    <t xml:space="preserve">Memory alone does not equal narrative reconstruction.</t>
  </si>
  <si>
    <t xml:space="preserve">Label the FUNCTION of the passage, not the presence of emotional words.</t>
  </si>
  <si>
    <t xml:space="preserve">Definitions, scale and principles copied from docs/annotation_guidelines.md (v1.0).</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</si>
</sst>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color rgb="FF0000FF"/>
      <name val="Arial"/>
      <family val="0"/>
      <charset val="1"/>
    </font>
    <font>
      <b val="true"/>
      <sz val="14"/>
      <color rgb="FF1F3864"/>
      <name val="Arial"/>
      <family val="0"/>
      <charset val="1"/>
    </font>
    <font>
      <i val="true"/>
      <sz val="9"/>
      <color rgb="FF595959"/>
      <name val="Arial"/>
      <family val="0"/>
      <charset val="1"/>
    </font>
    <font>
      <b val="true"/>
      <sz val="12"/>
      <color rgb="FF1F3864"/>
      <name val="Arial"/>
      <family val="0"/>
      <charset val="1"/>
    </font>
    <font>
      <b val="true"/>
      <sz val="11"/>
      <name val="Arial"/>
      <family val="0"/>
      <charset val="1"/>
    </font>
    <font>
      <sz val="11"/>
      <name val="Arial"/>
      <family val="0"/>
      <charset val="1"/>
    </font>
    <font>
      <b val="true"/>
      <sz val="10"/>
      <color rgb="FF0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9999"/>
        </patternFill>
      </fill>
    </dxf>
    <dxf>
      <fill>
        <patternFill>
          <bgColor rgb="FFFFC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99"/>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7"/>
    <col collapsed="false" customWidth="true" hidden="false" outlineLevel="0" max="4" min="4" style="0" width="15"/>
    <col collapsed="false" customWidth="true" hidden="false" outlineLevel="0" max="5" min="5" style="0" width="95"/>
    <col collapsed="false" customWidth="true" hidden="false" outlineLevel="0" max="6" min="6" style="0" width="12"/>
    <col collapsed="false" customWidth="true" hidden="false" outlineLevel="0" max="8" min="7" style="0" width="24"/>
    <col collapsed="false" customWidth="true" hidden="false" outlineLevel="0" max="9" min="9" style="0" width="10"/>
    <col collapsed="false" customWidth="true" hidden="false" outlineLevel="0" max="10" min="10" style="0" width="13"/>
    <col collapsed="false" customWidth="true" hidden="false" outlineLevel="0" max="11" min="11" style="0" width="48"/>
    <col collapsed="false" customWidth="true" hidden="true" outlineLevel="0" max="13" min="12" style="0" width="9"/>
    <col collapsed="false" customWidth="true" hidden="true" outlineLevel="0" max="14" min="14" style="0" width="30"/>
    <col collapsed="false" customWidth="true" hidden="true" outlineLevel="0" max="15" min="15" style="0" width="25"/>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225" hidden="false" customHeight="true" outlineLevel="0" collapsed="false">
      <c r="A2" s="2" t="n">
        <v>109</v>
      </c>
      <c r="B2" s="2" t="s">
        <v>15</v>
      </c>
      <c r="C2" s="2" t="s">
        <v>16</v>
      </c>
      <c r="D2" s="2" t="s">
        <v>17</v>
      </c>
      <c r="E2" s="3" t="s">
        <v>18</v>
      </c>
      <c r="F2" s="4"/>
      <c r="G2" s="4"/>
      <c r="H2" s="4"/>
      <c r="I2" s="4"/>
      <c r="J2" s="4"/>
      <c r="K2" s="5"/>
      <c r="L2" s="2" t="n">
        <v>0.474</v>
      </c>
      <c r="M2" s="2" t="n">
        <v>8</v>
      </c>
      <c r="N2" s="6" t="s">
        <v>19</v>
      </c>
      <c r="O2" s="6"/>
    </row>
    <row r="3" customFormat="false" ht="211.5" hidden="false" customHeight="true" outlineLevel="0" collapsed="false">
      <c r="A3" s="2" t="n">
        <v>111</v>
      </c>
      <c r="B3" s="2" t="s">
        <v>15</v>
      </c>
      <c r="C3" s="2" t="s">
        <v>16</v>
      </c>
      <c r="D3" s="2" t="s">
        <v>17</v>
      </c>
      <c r="E3" s="3" t="s">
        <v>20</v>
      </c>
      <c r="F3" s="4"/>
      <c r="G3" s="4"/>
      <c r="H3" s="4"/>
      <c r="I3" s="4"/>
      <c r="J3" s="4"/>
      <c r="K3" s="5"/>
      <c r="L3" s="2" t="n">
        <v>0.482</v>
      </c>
      <c r="M3" s="2" t="n">
        <v>8</v>
      </c>
      <c r="N3" s="6" t="s">
        <v>21</v>
      </c>
      <c r="O3" s="6"/>
    </row>
    <row r="4" customFormat="false" ht="198.75" hidden="false" customHeight="true" outlineLevel="0" collapsed="false">
      <c r="A4" s="2" t="n">
        <v>102</v>
      </c>
      <c r="B4" s="2" t="s">
        <v>22</v>
      </c>
      <c r="C4" s="2" t="s">
        <v>16</v>
      </c>
      <c r="D4" s="2" t="s">
        <v>17</v>
      </c>
      <c r="E4" s="3" t="s">
        <v>23</v>
      </c>
      <c r="F4" s="4"/>
      <c r="G4" s="4"/>
      <c r="H4" s="4"/>
      <c r="I4" s="4"/>
      <c r="J4" s="4"/>
      <c r="K4" s="5"/>
      <c r="L4" s="2" t="n">
        <v>0.443</v>
      </c>
      <c r="M4" s="2" t="n">
        <v>5</v>
      </c>
      <c r="N4" s="6" t="s">
        <v>24</v>
      </c>
      <c r="O4" s="6"/>
    </row>
    <row r="5" customFormat="false" ht="237.75" hidden="false" customHeight="true" outlineLevel="0" collapsed="false">
      <c r="A5" s="2" t="n">
        <v>108</v>
      </c>
      <c r="B5" s="2" t="s">
        <v>22</v>
      </c>
      <c r="C5" s="2" t="s">
        <v>16</v>
      </c>
      <c r="D5" s="2" t="s">
        <v>17</v>
      </c>
      <c r="E5" s="3" t="s">
        <v>25</v>
      </c>
      <c r="F5" s="4"/>
      <c r="G5" s="4"/>
      <c r="H5" s="4"/>
      <c r="I5" s="4"/>
      <c r="J5" s="4"/>
      <c r="K5" s="5"/>
      <c r="L5" s="2" t="n">
        <v>0.469</v>
      </c>
      <c r="M5" s="2" t="n">
        <v>4</v>
      </c>
      <c r="N5" s="6" t="s">
        <v>26</v>
      </c>
      <c r="O5" s="6" t="s">
        <v>27</v>
      </c>
    </row>
    <row r="6" customFormat="false" ht="250.5" hidden="false" customHeight="true" outlineLevel="0" collapsed="false">
      <c r="A6" s="2" t="n">
        <v>126</v>
      </c>
      <c r="B6" s="2" t="s">
        <v>28</v>
      </c>
      <c r="C6" s="2" t="s">
        <v>16</v>
      </c>
      <c r="D6" s="2" t="s">
        <v>17</v>
      </c>
      <c r="E6" s="3" t="s">
        <v>29</v>
      </c>
      <c r="F6" s="4"/>
      <c r="G6" s="4"/>
      <c r="H6" s="4"/>
      <c r="I6" s="4"/>
      <c r="J6" s="4"/>
      <c r="K6" s="5"/>
      <c r="L6" s="2" t="n">
        <v>0.548</v>
      </c>
      <c r="M6" s="2" t="n">
        <v>3</v>
      </c>
      <c r="N6" s="6" t="s">
        <v>30</v>
      </c>
      <c r="O6" s="6"/>
    </row>
    <row r="7" customFormat="false" ht="367.5" hidden="false" customHeight="true" outlineLevel="0" collapsed="false">
      <c r="A7" s="2" t="n">
        <v>152</v>
      </c>
      <c r="B7" s="2" t="s">
        <v>31</v>
      </c>
      <c r="C7" s="2" t="s">
        <v>16</v>
      </c>
      <c r="D7" s="2" t="s">
        <v>17</v>
      </c>
      <c r="E7" s="3" t="s">
        <v>32</v>
      </c>
      <c r="F7" s="4"/>
      <c r="G7" s="4"/>
      <c r="H7" s="4"/>
      <c r="I7" s="4"/>
      <c r="J7" s="4"/>
      <c r="K7" s="5"/>
      <c r="L7" s="2" t="n">
        <v>0.662</v>
      </c>
      <c r="M7" s="2" t="n">
        <v>3</v>
      </c>
      <c r="N7" s="6" t="s">
        <v>33</v>
      </c>
      <c r="O7" s="6"/>
    </row>
    <row r="8" customFormat="false" ht="198.75" hidden="false" customHeight="true" outlineLevel="0" collapsed="false">
      <c r="A8" s="2" t="n">
        <v>2</v>
      </c>
      <c r="B8" s="2" t="s">
        <v>34</v>
      </c>
      <c r="C8" s="2" t="s">
        <v>35</v>
      </c>
      <c r="D8" s="2" t="s">
        <v>17</v>
      </c>
      <c r="E8" s="3" t="s">
        <v>36</v>
      </c>
      <c r="F8" s="4"/>
      <c r="G8" s="4"/>
      <c r="H8" s="4"/>
      <c r="I8" s="4"/>
      <c r="J8" s="4"/>
      <c r="K8" s="5"/>
      <c r="L8" s="2" t="n">
        <v>0.004</v>
      </c>
      <c r="M8" s="2" t="n">
        <v>4</v>
      </c>
      <c r="N8" s="6" t="s">
        <v>37</v>
      </c>
      <c r="O8" s="6" t="s">
        <v>38</v>
      </c>
    </row>
    <row r="9" customFormat="false" ht="225" hidden="false" customHeight="true" outlineLevel="0" collapsed="false">
      <c r="A9" s="2" t="n">
        <v>7</v>
      </c>
      <c r="B9" s="2" t="s">
        <v>39</v>
      </c>
      <c r="C9" s="2" t="s">
        <v>35</v>
      </c>
      <c r="D9" s="2" t="s">
        <v>17</v>
      </c>
      <c r="E9" s="3" t="s">
        <v>40</v>
      </c>
      <c r="F9" s="4"/>
      <c r="G9" s="4"/>
      <c r="H9" s="4"/>
      <c r="I9" s="4"/>
      <c r="J9" s="4"/>
      <c r="K9" s="5"/>
      <c r="L9" s="2" t="n">
        <v>0.026</v>
      </c>
      <c r="M9" s="2" t="n">
        <v>4</v>
      </c>
      <c r="N9" s="6" t="s">
        <v>41</v>
      </c>
      <c r="O9" s="6" t="s">
        <v>42</v>
      </c>
    </row>
    <row r="10" customFormat="false" ht="250.5" hidden="false" customHeight="true" outlineLevel="0" collapsed="false">
      <c r="A10" s="2" t="n">
        <v>46</v>
      </c>
      <c r="B10" s="2" t="s">
        <v>43</v>
      </c>
      <c r="C10" s="2" t="s">
        <v>35</v>
      </c>
      <c r="D10" s="2" t="s">
        <v>17</v>
      </c>
      <c r="E10" s="3" t="s">
        <v>44</v>
      </c>
      <c r="F10" s="4"/>
      <c r="G10" s="4"/>
      <c r="H10" s="4"/>
      <c r="I10" s="4"/>
      <c r="J10" s="4"/>
      <c r="K10" s="5"/>
      <c r="L10" s="2" t="n">
        <v>0.197</v>
      </c>
      <c r="M10" s="2" t="n">
        <v>4</v>
      </c>
      <c r="N10" s="6" t="s">
        <v>45</v>
      </c>
      <c r="O10" s="6"/>
    </row>
    <row r="11" customFormat="false" ht="237.75" hidden="false" customHeight="true" outlineLevel="0" collapsed="false">
      <c r="A11" s="2" t="n">
        <v>5</v>
      </c>
      <c r="B11" s="2" t="s">
        <v>39</v>
      </c>
      <c r="C11" s="2" t="s">
        <v>35</v>
      </c>
      <c r="D11" s="2" t="s">
        <v>17</v>
      </c>
      <c r="E11" s="3" t="s">
        <v>46</v>
      </c>
      <c r="F11" s="4"/>
      <c r="G11" s="4"/>
      <c r="H11" s="4"/>
      <c r="I11" s="4"/>
      <c r="J11" s="4"/>
      <c r="K11" s="5"/>
      <c r="L11" s="2" t="n">
        <v>0.018</v>
      </c>
      <c r="M11" s="2" t="n">
        <v>2</v>
      </c>
      <c r="N11" s="6" t="s">
        <v>47</v>
      </c>
      <c r="O11" s="6" t="s">
        <v>48</v>
      </c>
    </row>
    <row r="12" customFormat="false" ht="264" hidden="false" customHeight="true" outlineLevel="0" collapsed="false">
      <c r="A12" s="2" t="n">
        <v>23</v>
      </c>
      <c r="B12" s="2" t="s">
        <v>49</v>
      </c>
      <c r="C12" s="2" t="s">
        <v>35</v>
      </c>
      <c r="D12" s="2" t="s">
        <v>17</v>
      </c>
      <c r="E12" s="3" t="s">
        <v>50</v>
      </c>
      <c r="F12" s="4"/>
      <c r="G12" s="4"/>
      <c r="H12" s="4"/>
      <c r="I12" s="4"/>
      <c r="J12" s="4"/>
      <c r="K12" s="5"/>
      <c r="L12" s="2" t="n">
        <v>0.096</v>
      </c>
      <c r="M12" s="2" t="n">
        <v>2</v>
      </c>
      <c r="N12" s="6" t="s">
        <v>47</v>
      </c>
      <c r="O12" s="6"/>
    </row>
    <row r="13" customFormat="false" ht="303" hidden="false" customHeight="true" outlineLevel="0" collapsed="false">
      <c r="A13" s="2" t="n">
        <v>56</v>
      </c>
      <c r="B13" s="2" t="s">
        <v>51</v>
      </c>
      <c r="C13" s="2" t="s">
        <v>35</v>
      </c>
      <c r="D13" s="2" t="s">
        <v>17</v>
      </c>
      <c r="E13" s="3" t="s">
        <v>52</v>
      </c>
      <c r="F13" s="4"/>
      <c r="G13" s="4"/>
      <c r="H13" s="4"/>
      <c r="I13" s="4"/>
      <c r="J13" s="4"/>
      <c r="K13" s="5"/>
      <c r="L13" s="2" t="n">
        <v>0.241</v>
      </c>
      <c r="M13" s="2" t="n">
        <v>2</v>
      </c>
      <c r="N13" s="6" t="s">
        <v>35</v>
      </c>
      <c r="O13" s="6" t="s">
        <v>53</v>
      </c>
    </row>
    <row r="14" customFormat="false" ht="225" hidden="false" customHeight="true" outlineLevel="0" collapsed="false">
      <c r="A14" s="2" t="n">
        <v>8</v>
      </c>
      <c r="B14" s="2" t="s">
        <v>54</v>
      </c>
      <c r="C14" s="2" t="s">
        <v>42</v>
      </c>
      <c r="D14" s="2" t="s">
        <v>17</v>
      </c>
      <c r="E14" s="3" t="s">
        <v>55</v>
      </c>
      <c r="F14" s="4"/>
      <c r="G14" s="4"/>
      <c r="H14" s="4"/>
      <c r="I14" s="4"/>
      <c r="J14" s="4"/>
      <c r="K14" s="5"/>
      <c r="L14" s="2" t="n">
        <v>0.031</v>
      </c>
      <c r="M14" s="2" t="n">
        <v>11</v>
      </c>
      <c r="N14" s="6" t="s">
        <v>56</v>
      </c>
      <c r="O14" s="6" t="s">
        <v>57</v>
      </c>
    </row>
    <row r="15" customFormat="false" ht="186" hidden="false" customHeight="true" outlineLevel="0" collapsed="false">
      <c r="A15" s="2" t="n">
        <v>13</v>
      </c>
      <c r="B15" s="2" t="s">
        <v>58</v>
      </c>
      <c r="C15" s="2" t="s">
        <v>42</v>
      </c>
      <c r="D15" s="2" t="s">
        <v>17</v>
      </c>
      <c r="E15" s="3" t="s">
        <v>59</v>
      </c>
      <c r="F15" s="4"/>
      <c r="G15" s="4"/>
      <c r="H15" s="4"/>
      <c r="I15" s="4"/>
      <c r="J15" s="4"/>
      <c r="K15" s="5"/>
      <c r="L15" s="2" t="n">
        <v>0.053</v>
      </c>
      <c r="M15" s="2" t="n">
        <v>8</v>
      </c>
      <c r="N15" s="6" t="s">
        <v>60</v>
      </c>
      <c r="O15" s="6" t="s">
        <v>61</v>
      </c>
    </row>
    <row r="16" customFormat="false" ht="381" hidden="false" customHeight="true" outlineLevel="0" collapsed="false">
      <c r="A16" s="2" t="n">
        <v>1</v>
      </c>
      <c r="B16" s="2" t="s">
        <v>34</v>
      </c>
      <c r="C16" s="2" t="s">
        <v>42</v>
      </c>
      <c r="D16" s="2" t="s">
        <v>17</v>
      </c>
      <c r="E16" s="3" t="s">
        <v>62</v>
      </c>
      <c r="F16" s="4"/>
      <c r="G16" s="4"/>
      <c r="H16" s="4"/>
      <c r="I16" s="4"/>
      <c r="J16" s="4"/>
      <c r="K16" s="5"/>
      <c r="L16" s="2" t="n">
        <v>0</v>
      </c>
      <c r="M16" s="2" t="n">
        <v>8</v>
      </c>
      <c r="N16" s="6" t="s">
        <v>63</v>
      </c>
      <c r="O16" s="6"/>
    </row>
    <row r="17" customFormat="false" ht="250.5" hidden="false" customHeight="true" outlineLevel="0" collapsed="false">
      <c r="A17" s="2" t="n">
        <v>9</v>
      </c>
      <c r="B17" s="2" t="s">
        <v>58</v>
      </c>
      <c r="C17" s="2" t="s">
        <v>42</v>
      </c>
      <c r="D17" s="2" t="s">
        <v>17</v>
      </c>
      <c r="E17" s="3" t="s">
        <v>64</v>
      </c>
      <c r="F17" s="4"/>
      <c r="G17" s="4"/>
      <c r="H17" s="4"/>
      <c r="I17" s="4"/>
      <c r="J17" s="4"/>
      <c r="K17" s="5"/>
      <c r="L17" s="2" t="n">
        <v>0.035</v>
      </c>
      <c r="M17" s="2" t="n">
        <v>5</v>
      </c>
      <c r="N17" s="6" t="s">
        <v>65</v>
      </c>
      <c r="O17" s="6" t="s">
        <v>57</v>
      </c>
    </row>
    <row r="18" customFormat="false" ht="250.5" hidden="false" customHeight="true" outlineLevel="0" collapsed="false">
      <c r="A18" s="2" t="n">
        <v>51</v>
      </c>
      <c r="B18" s="2" t="s">
        <v>51</v>
      </c>
      <c r="C18" s="2" t="s">
        <v>57</v>
      </c>
      <c r="D18" s="2" t="s">
        <v>17</v>
      </c>
      <c r="E18" s="3" t="s">
        <v>66</v>
      </c>
      <c r="F18" s="4"/>
      <c r="G18" s="4"/>
      <c r="H18" s="4"/>
      <c r="I18" s="4"/>
      <c r="J18" s="4"/>
      <c r="K18" s="5"/>
      <c r="L18" s="2" t="n">
        <v>0.219</v>
      </c>
      <c r="M18" s="2" t="n">
        <v>10</v>
      </c>
      <c r="N18" s="6" t="s">
        <v>67</v>
      </c>
      <c r="O18" s="6"/>
    </row>
    <row r="19" customFormat="false" ht="198.75" hidden="false" customHeight="true" outlineLevel="0" collapsed="false">
      <c r="A19" s="2" t="n">
        <v>54</v>
      </c>
      <c r="B19" s="2" t="s">
        <v>51</v>
      </c>
      <c r="C19" s="2" t="s">
        <v>57</v>
      </c>
      <c r="D19" s="2" t="s">
        <v>17</v>
      </c>
      <c r="E19" s="3" t="s">
        <v>68</v>
      </c>
      <c r="F19" s="4"/>
      <c r="G19" s="4"/>
      <c r="H19" s="4"/>
      <c r="I19" s="4"/>
      <c r="J19" s="4"/>
      <c r="K19" s="5"/>
      <c r="L19" s="2" t="n">
        <v>0.232</v>
      </c>
      <c r="M19" s="2" t="n">
        <v>7</v>
      </c>
      <c r="N19" s="6" t="s">
        <v>69</v>
      </c>
      <c r="O19" s="6"/>
    </row>
    <row r="20" customFormat="false" ht="289.5" hidden="false" customHeight="true" outlineLevel="0" collapsed="false">
      <c r="A20" s="2" t="n">
        <v>124</v>
      </c>
      <c r="B20" s="2" t="s">
        <v>28</v>
      </c>
      <c r="C20" s="2" t="s">
        <v>57</v>
      </c>
      <c r="D20" s="2" t="s">
        <v>17</v>
      </c>
      <c r="E20" s="3" t="s">
        <v>70</v>
      </c>
      <c r="F20" s="4"/>
      <c r="G20" s="4"/>
      <c r="H20" s="4"/>
      <c r="I20" s="4"/>
      <c r="J20" s="4"/>
      <c r="K20" s="5"/>
      <c r="L20" s="2" t="n">
        <v>0.539</v>
      </c>
      <c r="M20" s="2" t="n">
        <v>7</v>
      </c>
      <c r="N20" s="6" t="s">
        <v>71</v>
      </c>
      <c r="O20" s="6" t="s">
        <v>72</v>
      </c>
    </row>
    <row r="21" customFormat="false" ht="225" hidden="false" customHeight="true" outlineLevel="0" collapsed="false">
      <c r="A21" s="2" t="n">
        <v>17</v>
      </c>
      <c r="B21" s="2" t="s">
        <v>58</v>
      </c>
      <c r="C21" s="2" t="s">
        <v>57</v>
      </c>
      <c r="D21" s="2" t="s">
        <v>17</v>
      </c>
      <c r="E21" s="3" t="s">
        <v>73</v>
      </c>
      <c r="F21" s="4"/>
      <c r="G21" s="4"/>
      <c r="H21" s="4"/>
      <c r="I21" s="4"/>
      <c r="J21" s="4"/>
      <c r="K21" s="5"/>
      <c r="L21" s="2" t="n">
        <v>0.07</v>
      </c>
      <c r="M21" s="2" t="n">
        <v>6</v>
      </c>
      <c r="N21" s="6" t="s">
        <v>74</v>
      </c>
      <c r="O21" s="6" t="s">
        <v>75</v>
      </c>
    </row>
    <row r="22" customFormat="false" ht="289.5" hidden="false" customHeight="true" outlineLevel="0" collapsed="false">
      <c r="A22" s="2" t="n">
        <v>117</v>
      </c>
      <c r="B22" s="2" t="s">
        <v>76</v>
      </c>
      <c r="C22" s="2" t="s">
        <v>57</v>
      </c>
      <c r="D22" s="2" t="s">
        <v>17</v>
      </c>
      <c r="E22" s="3" t="s">
        <v>77</v>
      </c>
      <c r="F22" s="4"/>
      <c r="G22" s="4"/>
      <c r="H22" s="4"/>
      <c r="I22" s="4"/>
      <c r="J22" s="4"/>
      <c r="K22" s="5"/>
      <c r="L22" s="2" t="n">
        <v>0.509</v>
      </c>
      <c r="M22" s="2" t="n">
        <v>5</v>
      </c>
      <c r="N22" s="6" t="s">
        <v>78</v>
      </c>
      <c r="O22" s="6"/>
    </row>
    <row r="23" customFormat="false" ht="303" hidden="false" customHeight="true" outlineLevel="0" collapsed="false">
      <c r="A23" s="2" t="n">
        <v>55</v>
      </c>
      <c r="B23" s="2" t="s">
        <v>51</v>
      </c>
      <c r="C23" s="2" t="s">
        <v>57</v>
      </c>
      <c r="D23" s="2" t="s">
        <v>17</v>
      </c>
      <c r="E23" s="3" t="s">
        <v>79</v>
      </c>
      <c r="F23" s="4"/>
      <c r="G23" s="4"/>
      <c r="H23" s="4"/>
      <c r="I23" s="4"/>
      <c r="J23" s="4"/>
      <c r="K23" s="5"/>
      <c r="L23" s="2" t="n">
        <v>0.237</v>
      </c>
      <c r="M23" s="2" t="n">
        <v>5</v>
      </c>
      <c r="N23" s="6" t="s">
        <v>80</v>
      </c>
      <c r="O23" s="6"/>
    </row>
    <row r="24" customFormat="false" ht="237.75" hidden="false" customHeight="true" outlineLevel="0" collapsed="false">
      <c r="A24" s="2" t="n">
        <v>122</v>
      </c>
      <c r="B24" s="2" t="s">
        <v>28</v>
      </c>
      <c r="C24" s="2" t="s">
        <v>81</v>
      </c>
      <c r="D24" s="2" t="s">
        <v>17</v>
      </c>
      <c r="E24" s="3" t="s">
        <v>82</v>
      </c>
      <c r="F24" s="4"/>
      <c r="G24" s="4"/>
      <c r="H24" s="4"/>
      <c r="I24" s="4"/>
      <c r="J24" s="4"/>
      <c r="K24" s="5"/>
      <c r="L24" s="2" t="n">
        <v>0.531</v>
      </c>
      <c r="M24" s="2" t="n">
        <v>8</v>
      </c>
      <c r="N24" s="6" t="s">
        <v>83</v>
      </c>
      <c r="O24" s="6"/>
    </row>
    <row r="25" customFormat="false" ht="211.5" hidden="false" customHeight="true" outlineLevel="0" collapsed="false">
      <c r="A25" s="2" t="n">
        <v>27</v>
      </c>
      <c r="B25" s="2" t="s">
        <v>49</v>
      </c>
      <c r="C25" s="2" t="s">
        <v>81</v>
      </c>
      <c r="D25" s="2" t="s">
        <v>17</v>
      </c>
      <c r="E25" s="3" t="s">
        <v>84</v>
      </c>
      <c r="F25" s="4"/>
      <c r="G25" s="4"/>
      <c r="H25" s="4"/>
      <c r="I25" s="4"/>
      <c r="J25" s="4"/>
      <c r="K25" s="5"/>
      <c r="L25" s="2" t="n">
        <v>0.114</v>
      </c>
      <c r="M25" s="2" t="n">
        <v>7</v>
      </c>
      <c r="N25" s="6" t="s">
        <v>85</v>
      </c>
      <c r="O25" s="6"/>
    </row>
    <row r="26" customFormat="false" ht="250.5" hidden="false" customHeight="true" outlineLevel="0" collapsed="false">
      <c r="A26" s="2" t="n">
        <v>121</v>
      </c>
      <c r="B26" s="2" t="s">
        <v>28</v>
      </c>
      <c r="C26" s="2" t="s">
        <v>81</v>
      </c>
      <c r="D26" s="2" t="s">
        <v>17</v>
      </c>
      <c r="E26" s="3" t="s">
        <v>86</v>
      </c>
      <c r="F26" s="4"/>
      <c r="G26" s="4"/>
      <c r="H26" s="4"/>
      <c r="I26" s="4"/>
      <c r="J26" s="4"/>
      <c r="K26" s="5"/>
      <c r="L26" s="2" t="n">
        <v>0.526</v>
      </c>
      <c r="M26" s="2" t="n">
        <v>7</v>
      </c>
      <c r="N26" s="6" t="s">
        <v>87</v>
      </c>
      <c r="O26" s="6"/>
    </row>
    <row r="27" customFormat="false" ht="225" hidden="false" customHeight="true" outlineLevel="0" collapsed="false">
      <c r="A27" s="2" t="n">
        <v>106</v>
      </c>
      <c r="B27" s="2" t="s">
        <v>22</v>
      </c>
      <c r="C27" s="2" t="s">
        <v>81</v>
      </c>
      <c r="D27" s="2" t="s">
        <v>17</v>
      </c>
      <c r="E27" s="3" t="s">
        <v>88</v>
      </c>
      <c r="F27" s="4"/>
      <c r="G27" s="4"/>
      <c r="H27" s="4"/>
      <c r="I27" s="4"/>
      <c r="J27" s="4"/>
      <c r="K27" s="5"/>
      <c r="L27" s="2" t="n">
        <v>0.461</v>
      </c>
      <c r="M27" s="2" t="n">
        <v>6</v>
      </c>
      <c r="N27" s="6" t="s">
        <v>89</v>
      </c>
      <c r="O27" s="6"/>
    </row>
    <row r="28" customFormat="false" ht="211.5" hidden="false" customHeight="true" outlineLevel="0" collapsed="false">
      <c r="A28" s="2" t="n">
        <v>61</v>
      </c>
      <c r="B28" s="2" t="s">
        <v>90</v>
      </c>
      <c r="C28" s="2" t="s">
        <v>91</v>
      </c>
      <c r="D28" s="2" t="s">
        <v>92</v>
      </c>
      <c r="E28" s="3" t="s">
        <v>93</v>
      </c>
      <c r="F28" s="4"/>
      <c r="G28" s="4"/>
      <c r="H28" s="4"/>
      <c r="I28" s="4"/>
      <c r="J28" s="4"/>
      <c r="K28" s="5"/>
      <c r="L28" s="2" t="n">
        <v>0.263</v>
      </c>
      <c r="M28" s="2" t="n">
        <v>10</v>
      </c>
      <c r="N28" s="6" t="s">
        <v>94</v>
      </c>
      <c r="O28" s="6" t="s">
        <v>81</v>
      </c>
    </row>
    <row r="29" customFormat="false" ht="237.75" hidden="false" customHeight="true" outlineLevel="0" collapsed="false">
      <c r="A29" s="2" t="n">
        <v>216</v>
      </c>
      <c r="B29" s="2" t="s">
        <v>95</v>
      </c>
      <c r="C29" s="2" t="s">
        <v>91</v>
      </c>
      <c r="D29" s="2" t="s">
        <v>92</v>
      </c>
      <c r="E29" s="3" t="s">
        <v>96</v>
      </c>
      <c r="F29" s="4"/>
      <c r="G29" s="4"/>
      <c r="H29" s="4"/>
      <c r="I29" s="4"/>
      <c r="J29" s="4"/>
      <c r="K29" s="5"/>
      <c r="L29" s="2" t="n">
        <v>0.943</v>
      </c>
      <c r="M29" s="2" t="n">
        <v>7</v>
      </c>
      <c r="N29" s="6" t="s">
        <v>97</v>
      </c>
      <c r="O29" s="6"/>
    </row>
    <row r="30" customFormat="false" ht="250.5" hidden="false" customHeight="true" outlineLevel="0" collapsed="false">
      <c r="A30" s="2" t="n">
        <v>180</v>
      </c>
      <c r="B30" s="2" t="s">
        <v>98</v>
      </c>
      <c r="C30" s="2" t="s">
        <v>91</v>
      </c>
      <c r="D30" s="2" t="s">
        <v>92</v>
      </c>
      <c r="E30" s="3" t="s">
        <v>99</v>
      </c>
      <c r="F30" s="4"/>
      <c r="G30" s="4"/>
      <c r="H30" s="4"/>
      <c r="I30" s="4"/>
      <c r="J30" s="4"/>
      <c r="K30" s="5"/>
      <c r="L30" s="2" t="n">
        <v>0.785</v>
      </c>
      <c r="M30" s="2" t="n">
        <v>7</v>
      </c>
      <c r="N30" s="6" t="s">
        <v>100</v>
      </c>
      <c r="O30" s="6" t="s">
        <v>57</v>
      </c>
    </row>
    <row r="31" customFormat="false" ht="264" hidden="false" customHeight="true" outlineLevel="0" collapsed="false">
      <c r="A31" s="2" t="n">
        <v>144</v>
      </c>
      <c r="B31" s="2" t="s">
        <v>101</v>
      </c>
      <c r="C31" s="2" t="s">
        <v>91</v>
      </c>
      <c r="D31" s="2" t="s">
        <v>92</v>
      </c>
      <c r="E31" s="3" t="s">
        <v>102</v>
      </c>
      <c r="F31" s="4"/>
      <c r="G31" s="4"/>
      <c r="H31" s="4"/>
      <c r="I31" s="4"/>
      <c r="J31" s="4"/>
      <c r="K31" s="5"/>
      <c r="L31" s="2" t="n">
        <v>0.627</v>
      </c>
      <c r="M31" s="2" t="n">
        <v>7</v>
      </c>
      <c r="N31" s="6" t="s">
        <v>103</v>
      </c>
      <c r="O31" s="6"/>
    </row>
    <row r="32" customFormat="false" ht="225" hidden="false" customHeight="true" outlineLevel="0" collapsed="false">
      <c r="A32" s="2" t="n">
        <v>179</v>
      </c>
      <c r="B32" s="2" t="s">
        <v>98</v>
      </c>
      <c r="C32" s="2" t="s">
        <v>91</v>
      </c>
      <c r="D32" s="2" t="s">
        <v>92</v>
      </c>
      <c r="E32" s="3" t="s">
        <v>104</v>
      </c>
      <c r="F32" s="4"/>
      <c r="G32" s="4"/>
      <c r="H32" s="4"/>
      <c r="I32" s="4"/>
      <c r="J32" s="4"/>
      <c r="K32" s="5"/>
      <c r="L32" s="2" t="n">
        <v>0.781</v>
      </c>
      <c r="M32" s="2" t="n">
        <v>6</v>
      </c>
      <c r="N32" s="6" t="s">
        <v>105</v>
      </c>
      <c r="O32" s="6" t="s">
        <v>106</v>
      </c>
    </row>
    <row r="33" customFormat="false" ht="276.75" hidden="false" customHeight="true" outlineLevel="0" collapsed="false">
      <c r="A33" s="2" t="n">
        <v>166</v>
      </c>
      <c r="B33" s="2" t="s">
        <v>107</v>
      </c>
      <c r="C33" s="2" t="s">
        <v>106</v>
      </c>
      <c r="D33" s="2" t="s">
        <v>92</v>
      </c>
      <c r="E33" s="3" t="s">
        <v>108</v>
      </c>
      <c r="F33" s="4"/>
      <c r="G33" s="4"/>
      <c r="H33" s="4"/>
      <c r="I33" s="4"/>
      <c r="J33" s="4"/>
      <c r="K33" s="5"/>
      <c r="L33" s="2" t="n">
        <v>0.724</v>
      </c>
      <c r="M33" s="2" t="n">
        <v>11</v>
      </c>
      <c r="N33" s="6" t="s">
        <v>109</v>
      </c>
      <c r="O33" s="6"/>
    </row>
    <row r="34" customFormat="false" ht="225" hidden="false" customHeight="true" outlineLevel="0" collapsed="false">
      <c r="A34" s="2" t="n">
        <v>201</v>
      </c>
      <c r="B34" s="2" t="s">
        <v>110</v>
      </c>
      <c r="C34" s="2" t="s">
        <v>106</v>
      </c>
      <c r="D34" s="2" t="s">
        <v>92</v>
      </c>
      <c r="E34" s="3" t="s">
        <v>111</v>
      </c>
      <c r="F34" s="4"/>
      <c r="G34" s="4"/>
      <c r="H34" s="4"/>
      <c r="I34" s="4"/>
      <c r="J34" s="4"/>
      <c r="K34" s="5"/>
      <c r="L34" s="2" t="n">
        <v>0.877</v>
      </c>
      <c r="M34" s="2" t="n">
        <v>10</v>
      </c>
      <c r="N34" s="6" t="s">
        <v>112</v>
      </c>
      <c r="O34" s="6"/>
    </row>
    <row r="35" customFormat="false" ht="276.75" hidden="false" customHeight="true" outlineLevel="0" collapsed="false">
      <c r="A35" s="2" t="n">
        <v>65</v>
      </c>
      <c r="B35" s="2" t="s">
        <v>90</v>
      </c>
      <c r="C35" s="2" t="s">
        <v>106</v>
      </c>
      <c r="D35" s="2" t="s">
        <v>92</v>
      </c>
      <c r="E35" s="3" t="s">
        <v>113</v>
      </c>
      <c r="F35" s="4"/>
      <c r="G35" s="4"/>
      <c r="H35" s="4"/>
      <c r="I35" s="4"/>
      <c r="J35" s="4"/>
      <c r="K35" s="5"/>
      <c r="L35" s="2" t="n">
        <v>0.281</v>
      </c>
      <c r="M35" s="2" t="n">
        <v>9</v>
      </c>
      <c r="N35" s="6" t="s">
        <v>114</v>
      </c>
      <c r="O35" s="6"/>
    </row>
    <row r="36" customFormat="false" ht="186" hidden="false" customHeight="true" outlineLevel="0" collapsed="false">
      <c r="A36" s="2" t="n">
        <v>91</v>
      </c>
      <c r="B36" s="2" t="s">
        <v>115</v>
      </c>
      <c r="C36" s="2" t="s">
        <v>106</v>
      </c>
      <c r="D36" s="2" t="s">
        <v>92</v>
      </c>
      <c r="E36" s="3" t="s">
        <v>116</v>
      </c>
      <c r="F36" s="4"/>
      <c r="G36" s="4"/>
      <c r="H36" s="4"/>
      <c r="I36" s="4"/>
      <c r="J36" s="4"/>
      <c r="K36" s="5"/>
      <c r="L36" s="2" t="n">
        <v>0.395</v>
      </c>
      <c r="M36" s="2" t="n">
        <v>8</v>
      </c>
      <c r="N36" s="6" t="s">
        <v>117</v>
      </c>
      <c r="O36" s="6"/>
    </row>
    <row r="37" customFormat="false" ht="250.5" hidden="false" customHeight="true" outlineLevel="0" collapsed="false">
      <c r="A37" s="2" t="n">
        <v>225</v>
      </c>
      <c r="B37" s="2" t="s">
        <v>95</v>
      </c>
      <c r="C37" s="2" t="s">
        <v>106</v>
      </c>
      <c r="D37" s="2" t="s">
        <v>92</v>
      </c>
      <c r="E37" s="3" t="s">
        <v>118</v>
      </c>
      <c r="F37" s="4"/>
      <c r="G37" s="4"/>
      <c r="H37" s="4"/>
      <c r="I37" s="4"/>
      <c r="J37" s="4"/>
      <c r="K37" s="5"/>
      <c r="L37" s="2" t="n">
        <v>0.982</v>
      </c>
      <c r="M37" s="2" t="n">
        <v>8</v>
      </c>
      <c r="N37" s="6" t="s">
        <v>119</v>
      </c>
      <c r="O37" s="6"/>
    </row>
    <row r="38" customFormat="false" ht="225" hidden="false" customHeight="true" outlineLevel="0" collapsed="false">
      <c r="A38" s="2" t="n">
        <v>104</v>
      </c>
      <c r="B38" s="2" t="s">
        <v>22</v>
      </c>
      <c r="C38" s="2" t="s">
        <v>120</v>
      </c>
      <c r="D38" s="2" t="s">
        <v>120</v>
      </c>
      <c r="E38" s="3" t="s">
        <v>121</v>
      </c>
      <c r="F38" s="4"/>
      <c r="G38" s="4"/>
      <c r="H38" s="4"/>
      <c r="I38" s="4"/>
      <c r="J38" s="4"/>
      <c r="K38" s="5"/>
      <c r="L38" s="2" t="n">
        <v>0.452</v>
      </c>
      <c r="M38" s="2" t="n">
        <v>0</v>
      </c>
      <c r="N38" s="6"/>
      <c r="O38" s="6"/>
    </row>
    <row r="39" customFormat="false" ht="276.75" hidden="false" customHeight="true" outlineLevel="0" collapsed="false">
      <c r="A39" s="2" t="n">
        <v>28</v>
      </c>
      <c r="B39" s="2" t="s">
        <v>49</v>
      </c>
      <c r="C39" s="2" t="s">
        <v>120</v>
      </c>
      <c r="D39" s="2" t="s">
        <v>120</v>
      </c>
      <c r="E39" s="3" t="s">
        <v>122</v>
      </c>
      <c r="F39" s="4"/>
      <c r="G39" s="4"/>
      <c r="H39" s="4"/>
      <c r="I39" s="4"/>
      <c r="J39" s="4"/>
      <c r="K39" s="5"/>
      <c r="L39" s="2" t="n">
        <v>0.118</v>
      </c>
      <c r="M39" s="2" t="n">
        <v>0</v>
      </c>
      <c r="N39" s="6"/>
      <c r="O39" s="6"/>
    </row>
    <row r="40" customFormat="false" ht="250.5" hidden="false" customHeight="true" outlineLevel="0" collapsed="false">
      <c r="A40" s="2" t="n">
        <v>156</v>
      </c>
      <c r="B40" s="2" t="s">
        <v>123</v>
      </c>
      <c r="C40" s="2" t="s">
        <v>120</v>
      </c>
      <c r="D40" s="2" t="s">
        <v>120</v>
      </c>
      <c r="E40" s="3" t="s">
        <v>124</v>
      </c>
      <c r="F40" s="4"/>
      <c r="G40" s="4"/>
      <c r="H40" s="4"/>
      <c r="I40" s="4"/>
      <c r="J40" s="4"/>
      <c r="K40" s="5"/>
      <c r="L40" s="2" t="n">
        <v>0.68</v>
      </c>
      <c r="M40" s="2" t="n">
        <v>0</v>
      </c>
      <c r="N40" s="6"/>
      <c r="O40" s="6"/>
    </row>
    <row r="41" customFormat="false" ht="198.75" hidden="false" customHeight="true" outlineLevel="0" collapsed="false">
      <c r="A41" s="2" t="n">
        <v>176</v>
      </c>
      <c r="B41" s="2" t="s">
        <v>98</v>
      </c>
      <c r="C41" s="2" t="s">
        <v>120</v>
      </c>
      <c r="D41" s="2" t="s">
        <v>120</v>
      </c>
      <c r="E41" s="3" t="s">
        <v>125</v>
      </c>
      <c r="F41" s="4"/>
      <c r="G41" s="4"/>
      <c r="H41" s="4"/>
      <c r="I41" s="4"/>
      <c r="J41" s="4"/>
      <c r="K41" s="5"/>
      <c r="L41" s="2" t="n">
        <v>0.768</v>
      </c>
      <c r="M41" s="2" t="n">
        <v>0</v>
      </c>
      <c r="N41" s="6"/>
      <c r="O41" s="6" t="s">
        <v>106</v>
      </c>
    </row>
  </sheetData>
  <conditionalFormatting sqref="G2:G41">
    <cfRule type="expression" priority="2" aboveAverage="0" equalAverage="0" bottom="0" percent="0" rank="0" text="" dxfId="0">
      <formula>AND(OR($F2=1,$F2="1"),$G2="")</formula>
    </cfRule>
    <cfRule type="expression" priority="3" aboveAverage="0" equalAverage="0" bottom="0" percent="0" rank="0" text="" dxfId="1">
      <formula>AND($F2&lt;&gt;"",OR($F2=0,$F2="0"),$G2&lt;&gt;"")</formula>
    </cfRule>
  </conditionalFormatting>
  <conditionalFormatting sqref="I2:I41">
    <cfRule type="expression" priority="4" aboveAverage="0" equalAverage="0" bottom="0" percent="0" rank="0" text="" dxfId="0">
      <formula>AND(OR($F2=1,$F2="1"),OR($I2="",$I2=0,$I2="0"))</formula>
    </cfRule>
    <cfRule type="expression" priority="5" aboveAverage="0" equalAverage="0" bottom="0" percent="0" rank="0" text="" dxfId="1">
      <formula>AND($F2&lt;&gt;"",OR($F2=0,$F2="0"),$I2&lt;&gt;"",$I2&lt;&gt;0,$I2&lt;&gt;"0")</formula>
    </cfRule>
  </conditionalFormatting>
  <conditionalFormatting sqref="H2:H41">
    <cfRule type="expression" priority="6" aboveAverage="0" equalAverage="0" bottom="0" percent="0" rank="0" text="" dxfId="1">
      <formula>AND($H2&lt;&gt;"",$H2=$G2)</formula>
    </cfRule>
  </conditionalFormatting>
  <conditionalFormatting sqref="J2:J41">
    <cfRule type="expression" priority="7" aboveAverage="0" equalAverage="0" bottom="0" percent="0" rank="0" text="" dxfId="0">
      <formula>AND($F2&lt;&gt;"",$J2="")</formula>
    </cfRule>
  </conditionalFormatting>
  <conditionalFormatting sqref="K2:K41">
    <cfRule type="expression" priority="8" aboveAverage="0" equalAverage="0" bottom="0" percent="0" rank="0" text="" dxfId="0">
      <formula>AND($F2&lt;&gt;"",$K2="")</formula>
    </cfRule>
  </conditionalFormatting>
  <dataValidations count="5">
    <dataValidation allowBlank="true" error="Please pick a value from the dropdown." errorStyle="stop" errorTitle="Not in list" operator="between" showDropDown="false" showErrorMessage="true" showInputMessage="false" sqref="F2:F41" type="list">
      <formula1>"0,1"</formula1>
      <formula2>0</formula2>
    </dataValidation>
    <dataValidation allowBlank="true" error="Please pick a value from the dropdown." errorStyle="stop" errorTitle="Not in list" operator="between" showDropDown="false" showErrorMessage="true" showInputMessage="false" sqref="G2:G41" type="list">
      <formula1>"Narrative Reconstruction,Emotional Catharsis,Scriptotherapy,Poetry-mediated Processing,Music-mediated Processing"</formula1>
      <formula2>0</formula2>
    </dataValidation>
    <dataValidation allowBlank="true" error="Please pick a value from the dropdown." errorStyle="stop" errorTitle="Not in list" operator="between" showDropDown="false" showErrorMessage="true" showInputMessage="false" sqref="H2:H41" type="list">
      <formula1>"Narrative Reconstruction,Emotional Catharsis,Scriptotherapy,Poetry-mediated Processing,Music-mediated Processing"</formula1>
      <formula2>0</formula2>
    </dataValidation>
    <dataValidation allowBlank="true" error="Please pick a value from the dropdown." errorStyle="stop" errorTitle="Not in list" operator="between" showDropDown="false" showErrorMessage="true" showInputMessage="false" sqref="I2:I41" type="list">
      <formula1>"0,1,2,3,4,5"</formula1>
      <formula2>0</formula2>
    </dataValidation>
    <dataValidation allowBlank="true" error="Please pick a value from the dropdown." errorStyle="stop" errorTitle="Not in list" operator="between" showDropDown="false" showErrorMessage="true" showInputMessage="false" sqref="J2:J41" type="list">
      <formula1>"sure,unsure"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32.8" hidden="false" customHeight="false" outlineLevel="0" collapsed="false">
      <c r="A1" s="7" t="s">
        <v>126</v>
      </c>
    </row>
    <row r="2" customFormat="false" ht="32.8" hidden="false" customHeight="false" outlineLevel="0" collapsed="false">
      <c r="A2" s="8" t="s">
        <v>127</v>
      </c>
    </row>
    <row r="4" customFormat="false" ht="15" hidden="false" customHeight="false" outlineLevel="0" collapsed="false">
      <c r="A4" s="9" t="s">
        <v>128</v>
      </c>
    </row>
    <row r="5" customFormat="false" ht="15" hidden="false" customHeight="false" outlineLevel="0" collapsed="false">
      <c r="A5" s="10" t="s">
        <v>129</v>
      </c>
      <c r="B5" s="11" t="str">
        <f aca="false">COUNTA('Label Here'!F2:F41)&amp;" of 40"</f>
        <v>0 of 40</v>
      </c>
    </row>
    <row r="6" customFormat="false" ht="15" hidden="false" customHeight="false" outlineLevel="0" collapsed="false">
      <c r="A6" s="10" t="s">
        <v>130</v>
      </c>
      <c r="B6" s="11" t="n">
        <f aca="false">COUNTIF('Label Here'!F2:F41,"1")</f>
        <v>0</v>
      </c>
    </row>
    <row r="7" customFormat="false" ht="15" hidden="false" customHeight="false" outlineLevel="0" collapsed="false">
      <c r="A7" s="10" t="s">
        <v>131</v>
      </c>
      <c r="B7" s="11" t="n">
        <f aca="false">COUNTIF('Label Here'!F2:F41,"0")</f>
        <v>0</v>
      </c>
    </row>
    <row r="8" customFormat="false" ht="15" hidden="false" customHeight="false" outlineLevel="0" collapsed="false">
      <c r="A8" s="10" t="s">
        <v>132</v>
      </c>
      <c r="B8" s="11" t="n">
        <f aca="false">COUNTIF('Label Here'!J2:J41,"unsure")</f>
        <v>0</v>
      </c>
    </row>
    <row r="9" customFormat="false" ht="15" hidden="false" customHeight="false" outlineLevel="0" collapsed="false">
      <c r="A9" s="10" t="s">
        <v>133</v>
      </c>
      <c r="B9" s="11" t="n">
        <f aca="false">COUNTA('Label Here'!K2:K41)</f>
        <v>0</v>
      </c>
    </row>
    <row r="10" customFormat="false" ht="15" hidden="false" customHeight="false" outlineLevel="0" collapsed="false">
      <c r="A10" s="12" t="s">
        <v>134</v>
      </c>
      <c r="B10" s="11" t="n">
        <f aca="false">COUNTIF('Label Here'!G2:G41,"Narrative Reconstruction")</f>
        <v>0</v>
      </c>
    </row>
    <row r="11" customFormat="false" ht="15" hidden="false" customHeight="false" outlineLevel="0" collapsed="false">
      <c r="A11" s="12" t="s">
        <v>135</v>
      </c>
      <c r="B11" s="11" t="n">
        <f aca="false">COUNTIF('Label Here'!G2:G41,"Emotional Catharsis")</f>
        <v>0</v>
      </c>
    </row>
    <row r="12" customFormat="false" ht="15" hidden="false" customHeight="false" outlineLevel="0" collapsed="false">
      <c r="A12" s="12" t="s">
        <v>136</v>
      </c>
      <c r="B12" s="11" t="n">
        <f aca="false">COUNTIF('Label Here'!G2:G41,"Scriptotherapy")</f>
        <v>0</v>
      </c>
    </row>
    <row r="13" customFormat="false" ht="15" hidden="false" customHeight="false" outlineLevel="0" collapsed="false">
      <c r="A13" s="12" t="s">
        <v>137</v>
      </c>
      <c r="B13" s="11" t="n">
        <f aca="false">COUNTIF('Label Here'!G2:G41,"Poetry-mediated Processing")</f>
        <v>0</v>
      </c>
    </row>
    <row r="14" customFormat="false" ht="15" hidden="false" customHeight="false" outlineLevel="0" collapsed="false">
      <c r="A14" s="12" t="s">
        <v>138</v>
      </c>
      <c r="B14" s="11" t="n">
        <f aca="false">COUNTIF('Label Here'!G2:G41,"Music-mediated Processing")</f>
        <v>0</v>
      </c>
    </row>
    <row r="16" customFormat="false" ht="15" hidden="false" customHeight="false" outlineLevel="0" collapsed="false">
      <c r="A16" s="9" t="s">
        <v>139</v>
      </c>
    </row>
    <row r="17" customFormat="false" ht="23.85" hidden="false" customHeight="false" outlineLevel="0" collapsed="false">
      <c r="A17" s="13" t="s">
        <v>140</v>
      </c>
      <c r="B17" s="14" t="s">
        <v>141</v>
      </c>
    </row>
    <row r="18" customFormat="false" ht="23.85" hidden="false" customHeight="false" outlineLevel="0" collapsed="false">
      <c r="A18" s="13" t="s">
        <v>142</v>
      </c>
      <c r="B18" s="14" t="s">
        <v>143</v>
      </c>
    </row>
    <row r="19" customFormat="false" ht="15" hidden="false" customHeight="false" outlineLevel="0" collapsed="false">
      <c r="A19" s="13" t="s">
        <v>144</v>
      </c>
      <c r="B19" s="14" t="s">
        <v>145</v>
      </c>
    </row>
    <row r="20" customFormat="false" ht="15" hidden="false" customHeight="false" outlineLevel="0" collapsed="false">
      <c r="A20" s="13" t="s">
        <v>146</v>
      </c>
      <c r="B20" s="14" t="s">
        <v>147</v>
      </c>
    </row>
    <row r="21" customFormat="false" ht="15" hidden="false" customHeight="false" outlineLevel="0" collapsed="false">
      <c r="A21" s="13" t="s">
        <v>148</v>
      </c>
      <c r="B21" s="14" t="s">
        <v>149</v>
      </c>
    </row>
    <row r="22" customFormat="false" ht="23.85" hidden="false" customHeight="false" outlineLevel="0" collapsed="false">
      <c r="A22" s="13" t="s">
        <v>150</v>
      </c>
      <c r="B22" s="14" t="s">
        <v>151</v>
      </c>
    </row>
    <row r="23" customFormat="false" ht="15" hidden="false" customHeight="false" outlineLevel="0" collapsed="false">
      <c r="A23" s="13" t="s">
        <v>152</v>
      </c>
      <c r="B23" s="14" t="s">
        <v>153</v>
      </c>
    </row>
    <row r="25" customFormat="false" ht="26.85" hidden="false" customHeight="false" outlineLevel="0" collapsed="false">
      <c r="A25" s="9" t="s">
        <v>154</v>
      </c>
    </row>
    <row r="26" customFormat="false" ht="23.85" hidden="false" customHeight="false" outlineLevel="0" collapsed="false">
      <c r="A26" s="13" t="s">
        <v>155</v>
      </c>
      <c r="B26" s="14" t="s">
        <v>156</v>
      </c>
    </row>
    <row r="27" customFormat="false" ht="15" hidden="false" customHeight="false" outlineLevel="0" collapsed="false">
      <c r="A27" s="13" t="s">
        <v>157</v>
      </c>
      <c r="B27" s="14" t="s">
        <v>158</v>
      </c>
    </row>
    <row r="28" customFormat="false" ht="15" hidden="false" customHeight="false" outlineLevel="0" collapsed="false">
      <c r="A28" s="13" t="s">
        <v>159</v>
      </c>
      <c r="B28" s="14" t="s">
        <v>160</v>
      </c>
    </row>
    <row r="29" customFormat="false" ht="15" hidden="false" customHeight="false" outlineLevel="0" collapsed="false">
      <c r="A29" s="13" t="s">
        <v>161</v>
      </c>
      <c r="B29" s="14" t="s">
        <v>162</v>
      </c>
    </row>
    <row r="30" customFormat="false" ht="15" hidden="false" customHeight="false" outlineLevel="0" collapsed="false">
      <c r="A30" s="13" t="s">
        <v>163</v>
      </c>
      <c r="B30" s="14" t="s">
        <v>164</v>
      </c>
    </row>
    <row r="32" customFormat="false" ht="26.85" hidden="false" customHeight="false" outlineLevel="0" collapsed="false">
      <c r="A32" s="9" t="s">
        <v>165</v>
      </c>
    </row>
    <row r="33" customFormat="false" ht="15" hidden="false" customHeight="false" outlineLevel="0" collapsed="false">
      <c r="A33" s="13" t="s">
        <v>166</v>
      </c>
      <c r="B33" s="14" t="s">
        <v>167</v>
      </c>
    </row>
    <row r="34" customFormat="false" ht="15" hidden="false" customHeight="false" outlineLevel="0" collapsed="false">
      <c r="A34" s="13" t="s">
        <v>168</v>
      </c>
      <c r="B34" s="14" t="s">
        <v>169</v>
      </c>
    </row>
    <row r="35" customFormat="false" ht="15" hidden="false" customHeight="false" outlineLevel="0" collapsed="false">
      <c r="A35" s="13" t="s">
        <v>170</v>
      </c>
      <c r="B35" s="14" t="s">
        <v>171</v>
      </c>
    </row>
    <row r="37" customFormat="false" ht="26.85" hidden="false" customHeight="false" outlineLevel="0" collapsed="false">
      <c r="A37" s="9" t="s">
        <v>172</v>
      </c>
    </row>
    <row r="38" customFormat="false" ht="15" hidden="false" customHeight="false" outlineLevel="0" collapsed="false">
      <c r="A38" s="13" t="s">
        <v>173</v>
      </c>
      <c r="B38" s="14" t="s">
        <v>174</v>
      </c>
    </row>
    <row r="39" customFormat="false" ht="15" hidden="false" customHeight="false" outlineLevel="0" collapsed="false">
      <c r="A39" s="13" t="s">
        <v>175</v>
      </c>
      <c r="B39" s="14" t="s">
        <v>176</v>
      </c>
    </row>
    <row r="40" customFormat="false" ht="15" hidden="false" customHeight="false" outlineLevel="0" collapsed="false">
      <c r="A40" s="13" t="s">
        <v>177</v>
      </c>
      <c r="B40" s="14" t="s">
        <v>178</v>
      </c>
    </row>
    <row r="41" customFormat="false" ht="15" hidden="false" customHeight="false" outlineLevel="0" collapsed="false">
      <c r="A41" s="13" t="s">
        <v>179</v>
      </c>
      <c r="B41" s="14" t="s">
        <v>180</v>
      </c>
    </row>
    <row r="42" customFormat="false" ht="15" hidden="false" customHeight="false" outlineLevel="0" collapsed="false">
      <c r="A42" s="13" t="s">
        <v>181</v>
      </c>
      <c r="B42" s="14" t="s">
        <v>182</v>
      </c>
    </row>
    <row r="44" customFormat="false" ht="15" hidden="false" customHeight="false" outlineLevel="0" collapsed="false">
      <c r="A44" s="9" t="s">
        <v>183</v>
      </c>
    </row>
    <row r="45" customFormat="false" ht="15" hidden="false" customHeight="false" outlineLevel="0" collapsed="false">
      <c r="A45" s="13" t="s">
        <v>184</v>
      </c>
      <c r="B45" s="14" t="s">
        <v>185</v>
      </c>
    </row>
    <row r="46" customFormat="false" ht="15" hidden="false" customHeight="false" outlineLevel="0" collapsed="false">
      <c r="A46" s="13" t="s">
        <v>186</v>
      </c>
      <c r="B46" s="14" t="s">
        <v>187</v>
      </c>
    </row>
    <row r="47" customFormat="false" ht="15" hidden="false" customHeight="false" outlineLevel="0" collapsed="false">
      <c r="A47" s="13" t="s">
        <v>188</v>
      </c>
      <c r="B47" s="14" t="s">
        <v>189</v>
      </c>
    </row>
    <row r="48" customFormat="false" ht="15" hidden="false" customHeight="false" outlineLevel="0" collapsed="false">
      <c r="A48" s="13" t="s">
        <v>190</v>
      </c>
      <c r="B48" s="14" t="s">
        <v>191</v>
      </c>
    </row>
    <row r="49" customFormat="false" ht="15" hidden="false" customHeight="false" outlineLevel="0" collapsed="false">
      <c r="A49" s="13" t="s">
        <v>192</v>
      </c>
      <c r="B49" s="14" t="s">
        <v>193</v>
      </c>
    </row>
    <row r="50" customFormat="false" ht="15" hidden="false" customHeight="false" outlineLevel="0" collapsed="false">
      <c r="A50" s="13" t="s">
        <v>194</v>
      </c>
      <c r="B50" s="14" t="s">
        <v>195</v>
      </c>
    </row>
    <row r="52" customFormat="false" ht="15" hidden="false" customHeight="false" outlineLevel="0" collapsed="false">
      <c r="A52" s="9" t="s">
        <v>196</v>
      </c>
    </row>
    <row r="53" customFormat="false" ht="15" hidden="false" customHeight="false" outlineLevel="0" collapsed="false">
      <c r="A53" s="13" t="s">
        <v>197</v>
      </c>
      <c r="B53" s="14" t="s">
        <v>198</v>
      </c>
    </row>
    <row r="54" customFormat="false" ht="15" hidden="false" customHeight="false" outlineLevel="0" collapsed="false">
      <c r="A54" s="13" t="s">
        <v>197</v>
      </c>
      <c r="B54" s="14" t="s">
        <v>199</v>
      </c>
    </row>
    <row r="55" customFormat="false" ht="15" hidden="false" customHeight="false" outlineLevel="0" collapsed="false">
      <c r="A55" s="13" t="s">
        <v>197</v>
      </c>
      <c r="B55" s="14" t="s">
        <v>200</v>
      </c>
    </row>
    <row r="56" customFormat="false" ht="15" hidden="false" customHeight="false" outlineLevel="0" collapsed="false">
      <c r="A56" s="13" t="s">
        <v>197</v>
      </c>
      <c r="B56" s="14" t="s">
        <v>201</v>
      </c>
    </row>
    <row r="58" customFormat="false" ht="22.35" hidden="false" customHeight="false" outlineLevel="0" collapsed="false">
      <c r="A58" s="8"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2026-10-04T15:41:51Z</dcterms:created>
  <dc:creator>openpyxl</dc:creator>
  <dc:description/>
  <dc:language>en-US</dc:language>
  <cp:lastModifiedBy/>
  <dcterms:modified xsi:type="dcterms:W3CDTF">2026-10-04T15:41:51Z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